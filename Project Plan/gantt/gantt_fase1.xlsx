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Fase 1" sheetId="1" state="visible" r:id="rId3"/>
    <sheet name="PM Fase 1" sheetId="2" state="visible" r:id="rId4"/>
    <sheet name="SA Fase 1" sheetId="3" state="visible" r:id="rId5"/>
    <sheet name="FSD Fase 1" sheetId="4" state="visible" r:id="rId6"/>
    <sheet name="FSDJ Fase 1" sheetId="5" state="visible" r:id="rId7"/>
    <sheet name="TOTALE Fase 1" sheetId="6" state="visible" r:id="rId8"/>
  </sheets>
  <definedNames>
    <definedName function="false" hidden="false" localSheetId="3" name="_xlnm.Print_Area" vbProcedure="false">'FSD Fase 1'!$A$1:$Z$27</definedName>
    <definedName function="false" hidden="false" localSheetId="4" name="_xlnm.Print_Area" vbProcedure="false">'FSDJ Fase 1'!$A$1:$Z$27</definedName>
    <definedName function="false" hidden="false" localSheetId="0" name="_xlnm.Print_Area" vbProcedure="false">'GANTT Fase 1'!$A$1:$Y$27</definedName>
    <definedName function="false" hidden="false" localSheetId="1" name="_xlnm.Print_Area" vbProcedure="false">'PM Fase 1'!$A$1:$Z$27</definedName>
    <definedName function="false" hidden="false" localSheetId="2" name="_xlnm.Print_Area" vbProcedure="false">'SA Fase 1'!$A$1:$Z$27</definedName>
    <definedName function="false" hidden="false" localSheetId="5" name="_xlnm.Print_Area" vbProcedure="false">'TOTALE Fase 1'!$A$1:$Z$27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<sst xmlns="http://schemas.openxmlformats.org/spreadsheetml/2006/main" count="238" uniqueCount="45">
  <si>
    <t xml:space="preserve">TASK / SUBTASK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</si>
  <si>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</si>
  <si>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</si>
  <si>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</si>
  <si>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</si>
  <si>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</si>
  <si>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</si>
  <si>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</si>
  <si>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</si>
  <si>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</si>
  <si>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</si>
  <si>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</si>
  <si>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</si>
  <si>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A  Organizzazione del Progetto</t>
  </si>
  <si>
    <t xml:space="preserve">A1  Set-Up del Progetto</t>
  </si>
  <si>
    <t xml:space="preserve">A2  Gruppi e Ambienti di Sviluppo</t>
  </si>
  <si>
    <t xml:space="preserve">B  Sottosistema Back-Office</t>
  </si>
  <si>
    <t xml:space="preserve">B1  Identity &amp; Access Management e Onboarding</t>
  </si>
  <si>
    <t xml:space="preserve">B2  DMVP Registry e Ciclo di Vita del Passaporto</t>
  </si>
  <si>
    <t xml:space="preserve">B3  Off-Chain Store Manager e Blockchain Gateway</t>
  </si>
  <si>
    <t xml:space="preserve">B4  Ricerca/Verifica, Notifiche e Integrazione</t>
  </si>
  <si>
    <t xml:space="preserve">C  Sottosistema Concessionaria</t>
  </si>
  <si>
    <t xml:space="preserve">C1  Gestione Dati Veicolo Base</t>
  </si>
  <si>
    <t xml:space="preserve">C2  Inizializzazione DMVP e Richiesta di Tuning</t>
  </si>
  <si>
    <t xml:space="preserve">C3  Gestione Consegna e Trasferimento DMVP</t>
  </si>
  <si>
    <t xml:space="preserve">D  Sottosistema Azienda di Tuning</t>
  </si>
  <si>
    <t xml:space="preserve">D1  Registrazione Modifiche e Seriali Componenti</t>
  </si>
  <si>
    <t xml:space="preserve">D2  Acquisizione Prove Multimediali e Documentazione</t>
  </si>
  <si>
    <t xml:space="preserve">E  Sottosistema Centro di Certificazione</t>
  </si>
  <si>
    <t xml:space="preserve">E1  Gestione Ispezione e Collaudo</t>
  </si>
  <si>
    <t xml:space="preserve">E2  Emissione e Registrazione del Certificato</t>
  </si>
  <si>
    <t xml:space="preserve">F  Sottosistema Front-End Unificato</t>
  </si>
  <si>
    <t xml:space="preserve">F1  Portale Web B2B</t>
  </si>
  <si>
    <t xml:space="preserve">F2  App Mobile B2C Cliente Privato</t>
  </si>
  <si>
    <t xml:space="preserve">F3  Console di Governance Intermediario e Analytics</t>
  </si>
  <si>
    <t xml:space="preserve">G  Integrazione/Testing complessivo e Deployment</t>
  </si>
  <si>
    <t xml:space="preserve">G1  Integrazione/Testing complessivo</t>
  </si>
  <si>
    <t xml:space="preserve">G2  Deployment</t>
  </si>
  <si>
    <t xml:space="preserve">1 PM</t>
  </si>
  <si>
    <t xml:space="preserve">O/P</t>
  </si>
  <si>
    <t xml:space="preserve">TOTALE</t>
  </si>
  <si>
    <t xml:space="preserve">1 SA</t>
  </si>
  <si>
    <t xml:space="preserve">4 FSD</t>
  </si>
  <si>
    <t xml:space="preserve">6 FSDJ</t>
  </si>
  <si>
    <t xml:space="preserve">TOTALE FASE 1  (12 risorse)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</si>
</sst>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8CBAD"/>
        <bgColor rgb="FFFFE699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C6E0B4"/>
      </patternFill>
    </fill>
    <fill>
      <patternFill patternType="solid">
        <fgColor rgb="FFDDEBF7"/>
        <bgColor rgb="FFE2EFDA"/>
      </patternFill>
    </fill>
    <fill>
      <patternFill patternType="solid">
        <fgColor rgb="FFC6E0B4"/>
        <bgColor rgb="FFBDD7EE"/>
      </patternFill>
    </fill>
    <fill>
      <patternFill patternType="solid">
        <fgColor rgb="FFE2EFDA"/>
        <bgColor rgb="FFDDEB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dashed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5" min="2" style="0" width="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</row>
    <row r="2" customFormat="false" ht="15" hidden="false" customHeight="false" outlineLevel="0" collapsed="false">
      <c r="A2" s="2" t="s">
        <v>13</v>
      </c>
      <c r="B2" s="3"/>
      <c r="C2" s="4"/>
      <c r="D2" s="3"/>
      <c r="E2" s="4"/>
      <c r="F2" s="5"/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</row>
    <row r="3" customFormat="false" ht="15" hidden="false" customHeight="false" outlineLevel="0" collapsed="false">
      <c r="A3" s="7" t="s">
        <v>14</v>
      </c>
      <c r="B3" s="8"/>
      <c r="C3" s="6"/>
      <c r="D3" s="5"/>
      <c r="E3" s="6"/>
      <c r="F3" s="5"/>
      <c r="G3" s="6"/>
      <c r="H3" s="5"/>
      <c r="I3" s="6"/>
      <c r="J3" s="5"/>
      <c r="K3" s="6"/>
      <c r="L3" s="5"/>
      <c r="M3" s="6"/>
      <c r="N3" s="5"/>
      <c r="O3" s="6"/>
      <c r="P3" s="5"/>
      <c r="Q3" s="6"/>
      <c r="R3" s="5"/>
      <c r="S3" s="6"/>
      <c r="T3" s="5"/>
      <c r="U3" s="6"/>
      <c r="V3" s="5"/>
      <c r="W3" s="6"/>
      <c r="X3" s="5"/>
      <c r="Y3" s="6"/>
    </row>
    <row r="4" customFormat="false" ht="15" hidden="false" customHeight="false" outlineLevel="0" collapsed="false">
      <c r="A4" s="7" t="s">
        <v>15</v>
      </c>
      <c r="B4" s="5"/>
      <c r="C4" s="9"/>
      <c r="D4" s="8"/>
      <c r="E4" s="9"/>
      <c r="F4" s="5"/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</row>
    <row r="5" customFormat="false" ht="15" hidden="false" customHeight="false" outlineLevel="0" collapsed="false">
      <c r="A5" s="10" t="s">
        <v>16</v>
      </c>
      <c r="B5" s="5"/>
      <c r="C5" s="6"/>
      <c r="D5" s="5"/>
      <c r="E5" s="6"/>
      <c r="F5" s="11"/>
      <c r="G5" s="12"/>
      <c r="H5" s="11"/>
      <c r="I5" s="12"/>
      <c r="J5" s="11"/>
      <c r="K5" s="12"/>
      <c r="L5" s="11"/>
      <c r="M5" s="12"/>
      <c r="N5" s="11"/>
      <c r="O5" s="12"/>
      <c r="P5" s="11"/>
      <c r="Q5" s="12"/>
      <c r="R5" s="11"/>
      <c r="S5" s="12"/>
      <c r="T5" s="11"/>
      <c r="U5" s="12"/>
      <c r="V5" s="5"/>
      <c r="W5" s="6"/>
      <c r="X5" s="5"/>
      <c r="Y5" s="6"/>
    </row>
    <row r="6" customFormat="false" ht="15" hidden="false" customHeight="false" outlineLevel="0" collapsed="false">
      <c r="A6" s="13" t="s">
        <v>17</v>
      </c>
      <c r="B6" s="5"/>
      <c r="C6" s="6"/>
      <c r="D6" s="5"/>
      <c r="E6" s="6"/>
      <c r="F6" s="14"/>
      <c r="G6" s="15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</row>
    <row r="7" customFormat="false" ht="15" hidden="false" customHeight="false" outlineLevel="0" collapsed="false">
      <c r="A7" s="13" t="s">
        <v>18</v>
      </c>
      <c r="B7" s="5"/>
      <c r="C7" s="6"/>
      <c r="D7" s="5"/>
      <c r="E7" s="6"/>
      <c r="F7" s="5"/>
      <c r="G7" s="6"/>
      <c r="H7" s="14"/>
      <c r="I7" s="15"/>
      <c r="J7" s="14"/>
      <c r="K7" s="15"/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6"/>
    </row>
    <row r="8" customFormat="false" ht="15" hidden="false" customHeight="false" outlineLevel="0" collapsed="false">
      <c r="A8" s="13" t="s">
        <v>19</v>
      </c>
      <c r="B8" s="5"/>
      <c r="C8" s="6"/>
      <c r="D8" s="5"/>
      <c r="E8" s="6"/>
      <c r="F8" s="5"/>
      <c r="G8" s="6"/>
      <c r="H8" s="5"/>
      <c r="I8" s="6"/>
      <c r="J8" s="5"/>
      <c r="K8" s="6"/>
      <c r="L8" s="14"/>
      <c r="M8" s="15"/>
      <c r="N8" s="14"/>
      <c r="O8" s="15"/>
      <c r="P8" s="14"/>
      <c r="Q8" s="6"/>
      <c r="R8" s="5"/>
      <c r="S8" s="6"/>
      <c r="T8" s="5"/>
      <c r="U8" s="6"/>
      <c r="V8" s="5"/>
      <c r="W8" s="6"/>
      <c r="X8" s="5"/>
      <c r="Y8" s="6"/>
    </row>
    <row r="9" customFormat="false" ht="15" hidden="false" customHeight="false" outlineLevel="0" collapsed="false">
      <c r="A9" s="13" t="s">
        <v>20</v>
      </c>
      <c r="B9" s="5"/>
      <c r="C9" s="6"/>
      <c r="D9" s="5"/>
      <c r="E9" s="6"/>
      <c r="F9" s="5"/>
      <c r="G9" s="6"/>
      <c r="H9" s="5"/>
      <c r="I9" s="6"/>
      <c r="J9" s="5"/>
      <c r="K9" s="6"/>
      <c r="L9" s="5"/>
      <c r="M9" s="6"/>
      <c r="N9" s="5"/>
      <c r="O9" s="6"/>
      <c r="P9" s="5"/>
      <c r="Q9" s="15"/>
      <c r="R9" s="14"/>
      <c r="S9" s="15"/>
      <c r="T9" s="14"/>
      <c r="U9" s="15"/>
      <c r="V9" s="5"/>
      <c r="W9" s="6"/>
      <c r="X9" s="5"/>
      <c r="Y9" s="6"/>
    </row>
    <row r="10" customFormat="false" ht="15" hidden="false" customHeight="false" outlineLevel="0" collapsed="false">
      <c r="A10" s="16" t="s">
        <v>21</v>
      </c>
      <c r="B10" s="5"/>
      <c r="C10" s="6"/>
      <c r="D10" s="5"/>
      <c r="E10" s="6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5"/>
      <c r="S10" s="6"/>
      <c r="T10" s="5"/>
      <c r="U10" s="6"/>
      <c r="V10" s="5"/>
      <c r="W10" s="6"/>
      <c r="X10" s="5"/>
      <c r="Y10" s="6"/>
    </row>
    <row r="11" customFormat="false" ht="15" hidden="false" customHeight="false" outlineLevel="0" collapsed="false">
      <c r="A11" s="19" t="s">
        <v>22</v>
      </c>
      <c r="B11" s="5"/>
      <c r="C11" s="6"/>
      <c r="D11" s="5"/>
      <c r="E11" s="6"/>
      <c r="F11" s="20"/>
      <c r="G11" s="21"/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</row>
    <row r="12" customFormat="false" ht="15" hidden="false" customHeight="false" outlineLevel="0" collapsed="false">
      <c r="A12" s="19" t="s">
        <v>23</v>
      </c>
      <c r="B12" s="5"/>
      <c r="C12" s="6"/>
      <c r="D12" s="5"/>
      <c r="E12" s="6"/>
      <c r="F12" s="5"/>
      <c r="G12" s="6"/>
      <c r="H12" s="20"/>
      <c r="I12" s="21"/>
      <c r="J12" s="20"/>
      <c r="K12" s="21"/>
      <c r="L12" s="20"/>
      <c r="M12" s="21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</row>
    <row r="13" customFormat="false" ht="15" hidden="false" customHeight="false" outlineLevel="0" collapsed="false">
      <c r="A13" s="19" t="s">
        <v>24</v>
      </c>
      <c r="B13" s="5"/>
      <c r="C13" s="6"/>
      <c r="D13" s="5"/>
      <c r="E13" s="6"/>
      <c r="F13" s="5"/>
      <c r="G13" s="6"/>
      <c r="H13" s="5"/>
      <c r="I13" s="6"/>
      <c r="J13" s="5"/>
      <c r="K13" s="6"/>
      <c r="L13" s="5"/>
      <c r="M13" s="6"/>
      <c r="N13" s="20"/>
      <c r="O13" s="21"/>
      <c r="P13" s="20"/>
      <c r="Q13" s="21"/>
      <c r="R13" s="5"/>
      <c r="S13" s="6"/>
      <c r="T13" s="5"/>
      <c r="U13" s="6"/>
      <c r="V13" s="5"/>
      <c r="W13" s="6"/>
      <c r="X13" s="5"/>
      <c r="Y13" s="6"/>
    </row>
    <row r="14" customFormat="false" ht="15" hidden="false" customHeight="false" outlineLevel="0" collapsed="false">
      <c r="A14" s="16" t="s">
        <v>25</v>
      </c>
      <c r="B14" s="5"/>
      <c r="C14" s="6"/>
      <c r="D14" s="5"/>
      <c r="E14" s="6"/>
      <c r="F14" s="5"/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17"/>
      <c r="S14" s="18"/>
      <c r="T14" s="17"/>
      <c r="U14" s="18"/>
      <c r="V14" s="5"/>
      <c r="W14" s="6"/>
      <c r="X14" s="5"/>
      <c r="Y14" s="6"/>
    </row>
    <row r="15" customFormat="false" ht="15" hidden="false" customHeight="false" outlineLevel="0" collapsed="false">
      <c r="A15" s="19" t="s">
        <v>26</v>
      </c>
      <c r="B15" s="5"/>
      <c r="C15" s="6"/>
      <c r="D15" s="5"/>
      <c r="E15" s="6"/>
      <c r="F15" s="5"/>
      <c r="G15" s="6"/>
      <c r="H15" s="5"/>
      <c r="I15" s="6"/>
      <c r="J15" s="5"/>
      <c r="K15" s="6"/>
      <c r="L15" s="5"/>
      <c r="M15" s="6"/>
      <c r="N15" s="5"/>
      <c r="O15" s="6"/>
      <c r="P15" s="5"/>
      <c r="Q15" s="6"/>
      <c r="R15" s="20"/>
      <c r="S15" s="21"/>
      <c r="T15" s="5"/>
      <c r="U15" s="6"/>
      <c r="V15" s="5"/>
      <c r="W15" s="6"/>
      <c r="X15" s="5"/>
      <c r="Y15" s="6"/>
    </row>
    <row r="16" customFormat="false" ht="15" hidden="false" customHeight="false" outlineLevel="0" collapsed="false">
      <c r="A16" s="19" t="s">
        <v>27</v>
      </c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20"/>
      <c r="U16" s="21"/>
      <c r="V16" s="5"/>
      <c r="W16" s="6"/>
      <c r="X16" s="5"/>
      <c r="Y16" s="6"/>
    </row>
    <row r="17" customFormat="false" ht="15" hidden="false" customHeight="false" outlineLevel="0" collapsed="false">
      <c r="A17" s="22" t="s">
        <v>28</v>
      </c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23"/>
      <c r="S17" s="24"/>
      <c r="T17" s="23"/>
      <c r="U17" s="24"/>
      <c r="V17" s="5"/>
      <c r="W17" s="6"/>
      <c r="X17" s="5"/>
      <c r="Y17" s="6"/>
    </row>
    <row r="18" customFormat="false" ht="15" hidden="false" customHeight="false" outlineLevel="0" collapsed="false">
      <c r="A18" s="25" t="s">
        <v>29</v>
      </c>
      <c r="B18" s="5"/>
      <c r="C18" s="6"/>
      <c r="D18" s="5"/>
      <c r="E18" s="6"/>
      <c r="F18" s="5"/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26"/>
      <c r="S18" s="27"/>
      <c r="T18" s="5"/>
      <c r="U18" s="6"/>
      <c r="V18" s="5"/>
      <c r="W18" s="6"/>
      <c r="X18" s="5"/>
      <c r="Y18" s="6"/>
    </row>
    <row r="19" customFormat="false" ht="15" hidden="false" customHeight="false" outlineLevel="0" collapsed="false">
      <c r="A19" s="25" t="s">
        <v>30</v>
      </c>
      <c r="B19" s="5"/>
      <c r="C19" s="6"/>
      <c r="D19" s="5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26"/>
      <c r="U19" s="27"/>
      <c r="V19" s="5"/>
      <c r="W19" s="6"/>
      <c r="X19" s="5"/>
      <c r="Y19" s="6"/>
    </row>
    <row r="20" customFormat="false" ht="15" hidden="false" customHeight="false" outlineLevel="0" collapsed="false">
      <c r="A20" s="22" t="s">
        <v>31</v>
      </c>
      <c r="B20" s="5"/>
      <c r="C20" s="6"/>
      <c r="D20" s="5"/>
      <c r="E20" s="6"/>
      <c r="F20" s="23"/>
      <c r="G20" s="24"/>
      <c r="H20" s="23"/>
      <c r="I20" s="24"/>
      <c r="J20" s="23"/>
      <c r="K20" s="24"/>
      <c r="L20" s="23"/>
      <c r="M20" s="24"/>
      <c r="N20" s="23"/>
      <c r="O20" s="24"/>
      <c r="P20" s="23"/>
      <c r="Q20" s="24"/>
      <c r="R20" s="5"/>
      <c r="S20" s="6"/>
      <c r="T20" s="5"/>
      <c r="U20" s="6"/>
      <c r="V20" s="5"/>
      <c r="W20" s="6"/>
      <c r="X20" s="5"/>
      <c r="Y20" s="6"/>
    </row>
    <row r="21" customFormat="false" ht="15" hidden="false" customHeight="false" outlineLevel="0" collapsed="false">
      <c r="A21" s="25" t="s">
        <v>32</v>
      </c>
      <c r="B21" s="5"/>
      <c r="C21" s="6"/>
      <c r="D21" s="5"/>
      <c r="E21" s="6"/>
      <c r="F21" s="26"/>
      <c r="G21" s="27"/>
      <c r="H21" s="26"/>
      <c r="I21" s="27"/>
      <c r="J21" s="26"/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6"/>
    </row>
    <row r="22" customFormat="false" ht="15" hidden="false" customHeight="false" outlineLevel="0" collapsed="false">
      <c r="A22" s="25" t="s">
        <v>33</v>
      </c>
      <c r="B22" s="5"/>
      <c r="C22" s="6"/>
      <c r="D22" s="5"/>
      <c r="E22" s="6"/>
      <c r="F22" s="5"/>
      <c r="G22" s="6"/>
      <c r="H22" s="5"/>
      <c r="I22" s="6"/>
      <c r="J22" s="5"/>
      <c r="K22" s="27"/>
      <c r="L22" s="26"/>
      <c r="M22" s="27"/>
      <c r="N22" s="26"/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</row>
    <row r="23" customFormat="false" ht="15" hidden="false" customHeight="false" outlineLevel="0" collapsed="false">
      <c r="A23" s="25" t="s">
        <v>34</v>
      </c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27"/>
      <c r="P23" s="26"/>
      <c r="Q23" s="27"/>
      <c r="R23" s="5"/>
      <c r="S23" s="6"/>
      <c r="T23" s="5"/>
      <c r="U23" s="6"/>
      <c r="V23" s="5"/>
      <c r="W23" s="6"/>
      <c r="X23" s="5"/>
      <c r="Y23" s="6"/>
    </row>
    <row r="24" customFormat="false" ht="15" hidden="false" customHeight="false" outlineLevel="0" collapsed="false">
      <c r="A24" s="2" t="s">
        <v>35</v>
      </c>
      <c r="B24" s="5"/>
      <c r="C24" s="6"/>
      <c r="D24" s="5"/>
      <c r="E24" s="6"/>
      <c r="F24" s="5"/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3"/>
      <c r="W24" s="4"/>
      <c r="X24" s="3"/>
      <c r="Y24" s="4"/>
    </row>
    <row r="25" customFormat="false" ht="15" hidden="false" customHeight="false" outlineLevel="0" collapsed="false">
      <c r="A25" s="7" t="s">
        <v>36</v>
      </c>
      <c r="B25" s="5"/>
      <c r="C25" s="6"/>
      <c r="D25" s="5"/>
      <c r="E25" s="6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8"/>
      <c r="W25" s="9"/>
      <c r="X25" s="8"/>
      <c r="Y25" s="6"/>
    </row>
    <row r="26" customFormat="false" ht="15" hidden="false" customHeight="false" outlineLevel="0" collapsed="false">
      <c r="A26" s="7" t="s">
        <v>37</v>
      </c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9"/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5" min="2" style="0" width="5.2"/>
    <col collapsed="false" customWidth="true" hidden="false" outlineLevel="0" max="26" min="26" style="0" width="11"/>
  </cols>
  <sheetData>
    <row r="1" customFormat="false" ht="15" hidden="false" customHeight="false" outlineLevel="0" collapsed="false">
      <c r="A1" s="1" t="s">
        <v>38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39</v>
      </c>
    </row>
    <row r="2" customFormat="false" ht="15" hidden="false" customHeight="false" outlineLevel="0" collapsed="false">
      <c r="A2" s="2" t="s">
        <v>13</v>
      </c>
      <c r="B2" s="3"/>
      <c r="C2" s="4"/>
      <c r="D2" s="3"/>
      <c r="E2" s="4"/>
      <c r="F2" s="5"/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28" t="n">
        <f aca="false">Z3+Z4</f>
        <v>292</v>
      </c>
    </row>
    <row r="3" customFormat="false" ht="15" hidden="false" customHeight="false" outlineLevel="0" collapsed="false">
      <c r="A3" s="7" t="s">
        <v>14</v>
      </c>
      <c r="B3" s="29" t="n">
        <v>1</v>
      </c>
      <c r="C3" s="6"/>
      <c r="D3" s="5"/>
      <c r="E3" s="6"/>
      <c r="F3" s="5"/>
      <c r="G3" s="6"/>
      <c r="H3" s="5"/>
      <c r="I3" s="6"/>
      <c r="J3" s="5"/>
      <c r="K3" s="6"/>
      <c r="L3" s="5"/>
      <c r="M3" s="6"/>
      <c r="N3" s="5"/>
      <c r="O3" s="6"/>
      <c r="P3" s="5"/>
      <c r="Q3" s="6"/>
      <c r="R3" s="5"/>
      <c r="S3" s="6"/>
      <c r="T3" s="5"/>
      <c r="U3" s="6"/>
      <c r="V3" s="5"/>
      <c r="W3" s="6"/>
      <c r="X3" s="5"/>
      <c r="Y3" s="6"/>
      <c r="Z3" s="30" t="n">
        <f aca="false">SUM(B3:Y3)*73</f>
        <v>73</v>
      </c>
    </row>
    <row r="4" customFormat="false" ht="15" hidden="false" customHeight="false" outlineLevel="0" collapsed="false">
      <c r="A4" s="7" t="s">
        <v>15</v>
      </c>
      <c r="B4" s="5"/>
      <c r="C4" s="31" t="n">
        <v>1</v>
      </c>
      <c r="D4" s="29" t="n">
        <v>1</v>
      </c>
      <c r="E4" s="31" t="n">
        <v>1</v>
      </c>
      <c r="F4" s="5"/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30" t="n">
        <f aca="false">SUM(B4:Y4)*73</f>
        <v>219</v>
      </c>
    </row>
    <row r="5" customFormat="false" ht="15" hidden="false" customHeight="false" outlineLevel="0" collapsed="false">
      <c r="A5" s="10" t="s">
        <v>16</v>
      </c>
      <c r="B5" s="5"/>
      <c r="C5" s="6"/>
      <c r="D5" s="5"/>
      <c r="E5" s="6"/>
      <c r="F5" s="11"/>
      <c r="G5" s="12"/>
      <c r="H5" s="11"/>
      <c r="I5" s="12"/>
      <c r="J5" s="11"/>
      <c r="K5" s="12"/>
      <c r="L5" s="11"/>
      <c r="M5" s="12"/>
      <c r="N5" s="11"/>
      <c r="O5" s="12"/>
      <c r="P5" s="11"/>
      <c r="Q5" s="12"/>
      <c r="R5" s="11"/>
      <c r="S5" s="12"/>
      <c r="T5" s="11"/>
      <c r="U5" s="12"/>
      <c r="V5" s="5"/>
      <c r="W5" s="6"/>
      <c r="X5" s="5"/>
      <c r="Y5" s="6"/>
      <c r="Z5" s="32" t="n">
        <f aca="false">Z6+Z7+Z8+Z9</f>
        <v>481.8</v>
      </c>
    </row>
    <row r="6" customFormat="false" ht="15" hidden="false" customHeight="false" outlineLevel="0" collapsed="false">
      <c r="A6" s="13" t="s">
        <v>17</v>
      </c>
      <c r="B6" s="5"/>
      <c r="C6" s="6"/>
      <c r="D6" s="5"/>
      <c r="E6" s="6"/>
      <c r="F6" s="33" t="n">
        <v>0.5</v>
      </c>
      <c r="G6" s="34" t="n">
        <v>0.5</v>
      </c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35" t="n">
        <f aca="false">SUM(B6:Y6)*73</f>
        <v>73</v>
      </c>
    </row>
    <row r="7" customFormat="false" ht="15" hidden="false" customHeight="false" outlineLevel="0" collapsed="false">
      <c r="A7" s="13" t="s">
        <v>18</v>
      </c>
      <c r="B7" s="5"/>
      <c r="C7" s="6"/>
      <c r="D7" s="5"/>
      <c r="E7" s="6"/>
      <c r="F7" s="5"/>
      <c r="G7" s="6"/>
      <c r="H7" s="33" t="n">
        <v>0.4</v>
      </c>
      <c r="I7" s="34" t="n">
        <v>0.4</v>
      </c>
      <c r="J7" s="33" t="n">
        <v>0.4</v>
      </c>
      <c r="K7" s="34" t="n">
        <v>0.4</v>
      </c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6"/>
      <c r="Z7" s="35" t="n">
        <f aca="false">SUM(B7:Y7)*73</f>
        <v>116.8</v>
      </c>
    </row>
    <row r="8" customFormat="false" ht="15" hidden="false" customHeight="false" outlineLevel="0" collapsed="false">
      <c r="A8" s="13" t="s">
        <v>19</v>
      </c>
      <c r="B8" s="5"/>
      <c r="C8" s="6"/>
      <c r="D8" s="5"/>
      <c r="E8" s="6"/>
      <c r="F8" s="5"/>
      <c r="G8" s="6"/>
      <c r="H8" s="5"/>
      <c r="I8" s="6"/>
      <c r="J8" s="5"/>
      <c r="K8" s="6"/>
      <c r="L8" s="33" t="n">
        <v>0.4</v>
      </c>
      <c r="M8" s="34" t="n">
        <v>0.4</v>
      </c>
      <c r="N8" s="33" t="n">
        <v>0.4</v>
      </c>
      <c r="O8" s="34" t="n">
        <v>0.4</v>
      </c>
      <c r="P8" s="33" t="n">
        <v>0.4</v>
      </c>
      <c r="Q8" s="6"/>
      <c r="R8" s="5"/>
      <c r="S8" s="6"/>
      <c r="T8" s="5"/>
      <c r="U8" s="6"/>
      <c r="V8" s="5"/>
      <c r="W8" s="6"/>
      <c r="X8" s="5"/>
      <c r="Y8" s="6"/>
      <c r="Z8" s="35" t="n">
        <f aca="false">SUM(B8:Y8)*73</f>
        <v>146</v>
      </c>
    </row>
    <row r="9" customFormat="false" ht="15" hidden="false" customHeight="false" outlineLevel="0" collapsed="false">
      <c r="A9" s="13" t="s">
        <v>20</v>
      </c>
      <c r="B9" s="5"/>
      <c r="C9" s="6"/>
      <c r="D9" s="5"/>
      <c r="E9" s="6"/>
      <c r="F9" s="5"/>
      <c r="G9" s="6"/>
      <c r="H9" s="5"/>
      <c r="I9" s="6"/>
      <c r="J9" s="5"/>
      <c r="K9" s="6"/>
      <c r="L9" s="5"/>
      <c r="M9" s="6"/>
      <c r="N9" s="5"/>
      <c r="O9" s="6"/>
      <c r="P9" s="5"/>
      <c r="Q9" s="34" t="n">
        <v>0.4</v>
      </c>
      <c r="R9" s="33" t="n">
        <v>0.4</v>
      </c>
      <c r="S9" s="34" t="n">
        <v>0.4</v>
      </c>
      <c r="T9" s="33" t="n">
        <v>0.4</v>
      </c>
      <c r="U9" s="34" t="n">
        <v>0.4</v>
      </c>
      <c r="V9" s="5"/>
      <c r="W9" s="6"/>
      <c r="X9" s="5"/>
      <c r="Y9" s="6"/>
      <c r="Z9" s="35" t="n">
        <f aca="false">SUM(B9:Y9)*73</f>
        <v>146</v>
      </c>
    </row>
    <row r="10" customFormat="false" ht="15" hidden="false" customHeight="false" outlineLevel="0" collapsed="false">
      <c r="A10" s="16" t="s">
        <v>21</v>
      </c>
      <c r="B10" s="5"/>
      <c r="C10" s="6"/>
      <c r="D10" s="5"/>
      <c r="E10" s="6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5"/>
      <c r="S10" s="6"/>
      <c r="T10" s="5"/>
      <c r="U10" s="6"/>
      <c r="V10" s="5"/>
      <c r="W10" s="6"/>
      <c r="X10" s="5"/>
      <c r="Y10" s="6"/>
      <c r="Z10" s="36" t="n">
        <f aca="false">Z11+Z12+Z13</f>
        <v>255.5</v>
      </c>
    </row>
    <row r="11" customFormat="false" ht="15" hidden="false" customHeight="false" outlineLevel="0" collapsed="false">
      <c r="A11" s="19" t="s">
        <v>22</v>
      </c>
      <c r="B11" s="5"/>
      <c r="C11" s="6"/>
      <c r="D11" s="5"/>
      <c r="E11" s="6"/>
      <c r="F11" s="37" t="n">
        <v>0.25</v>
      </c>
      <c r="G11" s="38" t="n">
        <v>0.25</v>
      </c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39" t="n">
        <f aca="false">SUM(B11:Y11)*73</f>
        <v>36.5</v>
      </c>
    </row>
    <row r="12" customFormat="false" ht="15" hidden="false" customHeight="false" outlineLevel="0" collapsed="false">
      <c r="A12" s="19" t="s">
        <v>23</v>
      </c>
      <c r="B12" s="5"/>
      <c r="C12" s="6"/>
      <c r="D12" s="5"/>
      <c r="E12" s="6"/>
      <c r="F12" s="5"/>
      <c r="G12" s="6"/>
      <c r="H12" s="37" t="n">
        <v>0.3</v>
      </c>
      <c r="I12" s="38" t="n">
        <v>0.3</v>
      </c>
      <c r="J12" s="37" t="n">
        <v>0.3</v>
      </c>
      <c r="K12" s="38" t="n">
        <v>0.3</v>
      </c>
      <c r="L12" s="37" t="n">
        <v>0.3</v>
      </c>
      <c r="M12" s="38" t="n">
        <v>0.3</v>
      </c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39" t="n">
        <f aca="false">SUM(B12:Y12)*73</f>
        <v>131.4</v>
      </c>
    </row>
    <row r="13" customFormat="false" ht="15" hidden="false" customHeight="false" outlineLevel="0" collapsed="false">
      <c r="A13" s="19" t="s">
        <v>24</v>
      </c>
      <c r="B13" s="5"/>
      <c r="C13" s="6"/>
      <c r="D13" s="5"/>
      <c r="E13" s="6"/>
      <c r="F13" s="5"/>
      <c r="G13" s="6"/>
      <c r="H13" s="5"/>
      <c r="I13" s="6"/>
      <c r="J13" s="5"/>
      <c r="K13" s="6"/>
      <c r="L13" s="5"/>
      <c r="M13" s="6"/>
      <c r="N13" s="37" t="n">
        <v>0.3</v>
      </c>
      <c r="O13" s="38" t="n">
        <v>0.3</v>
      </c>
      <c r="P13" s="37" t="n">
        <v>0.3</v>
      </c>
      <c r="Q13" s="38" t="n">
        <v>0.3</v>
      </c>
      <c r="R13" s="5"/>
      <c r="S13" s="6"/>
      <c r="T13" s="5"/>
      <c r="U13" s="6"/>
      <c r="V13" s="5"/>
      <c r="W13" s="6"/>
      <c r="X13" s="5"/>
      <c r="Y13" s="6"/>
      <c r="Z13" s="39" t="n">
        <f aca="false">SUM(B13:Y13)*73</f>
        <v>87.6</v>
      </c>
    </row>
    <row r="14" customFormat="false" ht="15" hidden="false" customHeight="false" outlineLevel="0" collapsed="false">
      <c r="A14" s="16" t="s">
        <v>25</v>
      </c>
      <c r="B14" s="5"/>
      <c r="C14" s="6"/>
      <c r="D14" s="5"/>
      <c r="E14" s="6"/>
      <c r="F14" s="5"/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17"/>
      <c r="S14" s="18"/>
      <c r="T14" s="17"/>
      <c r="U14" s="18"/>
      <c r="V14" s="5"/>
      <c r="W14" s="6"/>
      <c r="X14" s="5"/>
      <c r="Y14" s="6"/>
      <c r="Z14" s="36" t="n">
        <f aca="false">Z15+Z16</f>
        <v>87.6</v>
      </c>
    </row>
    <row r="15" customFormat="false" ht="15" hidden="false" customHeight="false" outlineLevel="0" collapsed="false">
      <c r="A15" s="19" t="s">
        <v>26</v>
      </c>
      <c r="B15" s="5"/>
      <c r="C15" s="6"/>
      <c r="D15" s="5"/>
      <c r="E15" s="6"/>
      <c r="F15" s="5"/>
      <c r="G15" s="6"/>
      <c r="H15" s="5"/>
      <c r="I15" s="6"/>
      <c r="J15" s="5"/>
      <c r="K15" s="6"/>
      <c r="L15" s="5"/>
      <c r="M15" s="6"/>
      <c r="N15" s="5"/>
      <c r="O15" s="6"/>
      <c r="P15" s="5"/>
      <c r="Q15" s="6"/>
      <c r="R15" s="37" t="n">
        <v>0.3</v>
      </c>
      <c r="S15" s="38" t="n">
        <v>0.3</v>
      </c>
      <c r="T15" s="5"/>
      <c r="U15" s="6"/>
      <c r="V15" s="5"/>
      <c r="W15" s="6"/>
      <c r="X15" s="5"/>
      <c r="Y15" s="6"/>
      <c r="Z15" s="39" t="n">
        <f aca="false">SUM(B15:Y15)*73</f>
        <v>43.8</v>
      </c>
    </row>
    <row r="16" customFormat="false" ht="15" hidden="false" customHeight="false" outlineLevel="0" collapsed="false">
      <c r="A16" s="19" t="s">
        <v>27</v>
      </c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37" t="n">
        <v>0.3</v>
      </c>
      <c r="U16" s="38" t="n">
        <v>0.3</v>
      </c>
      <c r="V16" s="5"/>
      <c r="W16" s="6"/>
      <c r="X16" s="5"/>
      <c r="Y16" s="6"/>
      <c r="Z16" s="39" t="n">
        <f aca="false">SUM(B16:Y16)*73</f>
        <v>43.8</v>
      </c>
    </row>
    <row r="17" customFormat="false" ht="15" hidden="false" customHeight="false" outlineLevel="0" collapsed="false">
      <c r="A17" s="22" t="s">
        <v>28</v>
      </c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23"/>
      <c r="S17" s="24"/>
      <c r="T17" s="23"/>
      <c r="U17" s="24"/>
      <c r="V17" s="5"/>
      <c r="W17" s="6"/>
      <c r="X17" s="5"/>
      <c r="Y17" s="6"/>
      <c r="Z17" s="40" t="n">
        <f aca="false">Z18+Z19</f>
        <v>87.6</v>
      </c>
    </row>
    <row r="18" customFormat="false" ht="15" hidden="false" customHeight="false" outlineLevel="0" collapsed="false">
      <c r="A18" s="25" t="s">
        <v>29</v>
      </c>
      <c r="B18" s="5"/>
      <c r="C18" s="6"/>
      <c r="D18" s="5"/>
      <c r="E18" s="6"/>
      <c r="F18" s="5"/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41" t="n">
        <v>0.3</v>
      </c>
      <c r="S18" s="42" t="n">
        <v>0.3</v>
      </c>
      <c r="T18" s="5"/>
      <c r="U18" s="6"/>
      <c r="V18" s="5"/>
      <c r="W18" s="6"/>
      <c r="X18" s="5"/>
      <c r="Y18" s="6"/>
      <c r="Z18" s="43" t="n">
        <f aca="false">SUM(B18:Y18)*73</f>
        <v>43.8</v>
      </c>
    </row>
    <row r="19" customFormat="false" ht="15" hidden="false" customHeight="false" outlineLevel="0" collapsed="false">
      <c r="A19" s="25" t="s">
        <v>30</v>
      </c>
      <c r="B19" s="5"/>
      <c r="C19" s="6"/>
      <c r="D19" s="5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41" t="n">
        <v>0.3</v>
      </c>
      <c r="U19" s="42" t="n">
        <v>0.3</v>
      </c>
      <c r="V19" s="5"/>
      <c r="W19" s="6"/>
      <c r="X19" s="5"/>
      <c r="Y19" s="6"/>
      <c r="Z19" s="43" t="n">
        <f aca="false">SUM(B19:Y19)*73</f>
        <v>43.8</v>
      </c>
    </row>
    <row r="20" customFormat="false" ht="15" hidden="false" customHeight="false" outlineLevel="0" collapsed="false">
      <c r="A20" s="22" t="s">
        <v>31</v>
      </c>
      <c r="B20" s="5"/>
      <c r="C20" s="6"/>
      <c r="D20" s="5"/>
      <c r="E20" s="6"/>
      <c r="F20" s="23"/>
      <c r="G20" s="24"/>
      <c r="H20" s="23"/>
      <c r="I20" s="24"/>
      <c r="J20" s="23"/>
      <c r="K20" s="24"/>
      <c r="L20" s="23"/>
      <c r="M20" s="24"/>
      <c r="N20" s="23"/>
      <c r="O20" s="24"/>
      <c r="P20" s="23"/>
      <c r="Q20" s="24"/>
      <c r="R20" s="5"/>
      <c r="S20" s="6"/>
      <c r="T20" s="5"/>
      <c r="U20" s="6"/>
      <c r="V20" s="5"/>
      <c r="W20" s="6"/>
      <c r="X20" s="5"/>
      <c r="Y20" s="6"/>
      <c r="Z20" s="40" t="n">
        <f aca="false">Z21+Z22+Z23</f>
        <v>255.5</v>
      </c>
    </row>
    <row r="21" customFormat="false" ht="15" hidden="false" customHeight="false" outlineLevel="0" collapsed="false">
      <c r="A21" s="25" t="s">
        <v>32</v>
      </c>
      <c r="B21" s="5"/>
      <c r="C21" s="6"/>
      <c r="D21" s="5"/>
      <c r="E21" s="6"/>
      <c r="F21" s="41" t="n">
        <v>0.25</v>
      </c>
      <c r="G21" s="42" t="n">
        <v>0.25</v>
      </c>
      <c r="H21" s="41" t="n">
        <v>0.3</v>
      </c>
      <c r="I21" s="42" t="n">
        <v>0.3</v>
      </c>
      <c r="J21" s="41" t="n">
        <v>0.3</v>
      </c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6"/>
      <c r="Z21" s="43" t="n">
        <f aca="false">SUM(B21:Y21)*73</f>
        <v>102.2</v>
      </c>
    </row>
    <row r="22" customFormat="false" ht="15" hidden="false" customHeight="false" outlineLevel="0" collapsed="false">
      <c r="A22" s="25" t="s">
        <v>33</v>
      </c>
      <c r="B22" s="5"/>
      <c r="C22" s="6"/>
      <c r="D22" s="5"/>
      <c r="E22" s="6"/>
      <c r="F22" s="5"/>
      <c r="G22" s="6"/>
      <c r="H22" s="5"/>
      <c r="I22" s="6"/>
      <c r="J22" s="5"/>
      <c r="K22" s="42" t="n">
        <v>0.3</v>
      </c>
      <c r="L22" s="41" t="n">
        <v>0.3</v>
      </c>
      <c r="M22" s="42" t="n">
        <v>0.3</v>
      </c>
      <c r="N22" s="41" t="n">
        <v>0.3</v>
      </c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43" t="n">
        <f aca="false">SUM(B22:Y22)*73</f>
        <v>87.6</v>
      </c>
    </row>
    <row r="23" customFormat="false" ht="15" hidden="false" customHeight="false" outlineLevel="0" collapsed="false">
      <c r="A23" s="25" t="s">
        <v>34</v>
      </c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42" t="n">
        <v>0.3</v>
      </c>
      <c r="P23" s="41" t="n">
        <v>0.3</v>
      </c>
      <c r="Q23" s="42" t="n">
        <v>0.3</v>
      </c>
      <c r="R23" s="5"/>
      <c r="S23" s="6"/>
      <c r="T23" s="5"/>
      <c r="U23" s="6"/>
      <c r="V23" s="5"/>
      <c r="W23" s="6"/>
      <c r="X23" s="5"/>
      <c r="Y23" s="6"/>
      <c r="Z23" s="43" t="n">
        <f aca="false">SUM(B23:Y23)*73</f>
        <v>65.7</v>
      </c>
    </row>
    <row r="24" customFormat="false" ht="15" hidden="false" customHeight="false" outlineLevel="0" collapsed="false">
      <c r="A24" s="2" t="s">
        <v>35</v>
      </c>
      <c r="B24" s="5"/>
      <c r="C24" s="6"/>
      <c r="D24" s="5"/>
      <c r="E24" s="6"/>
      <c r="F24" s="5"/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3"/>
      <c r="W24" s="4"/>
      <c r="X24" s="3"/>
      <c r="Y24" s="4"/>
      <c r="Z24" s="28" t="n">
        <f aca="false">Z25+Z26</f>
        <v>292</v>
      </c>
    </row>
    <row r="25" customFormat="false" ht="15" hidden="false" customHeight="false" outlineLevel="0" collapsed="false">
      <c r="A25" s="7" t="s">
        <v>36</v>
      </c>
      <c r="B25" s="5"/>
      <c r="C25" s="6"/>
      <c r="D25" s="5"/>
      <c r="E25" s="6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29" t="n">
        <v>1</v>
      </c>
      <c r="W25" s="31" t="n">
        <v>1</v>
      </c>
      <c r="X25" s="29" t="n">
        <v>1</v>
      </c>
      <c r="Y25" s="6"/>
      <c r="Z25" s="30" t="n">
        <f aca="false">SUM(B25:Y25)*73</f>
        <v>219</v>
      </c>
    </row>
    <row r="26" customFormat="false" ht="15" hidden="false" customHeight="false" outlineLevel="0" collapsed="false">
      <c r="A26" s="7" t="s">
        <v>37</v>
      </c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31" t="n">
        <v>1</v>
      </c>
      <c r="Z26" s="30" t="n">
        <f aca="false">SUM(B26:Y26)*73</f>
        <v>73</v>
      </c>
    </row>
    <row r="27" customFormat="false" ht="15" hidden="false" customHeight="false" outlineLevel="0" collapsed="false">
      <c r="A27" s="44" t="s">
        <v>40</v>
      </c>
      <c r="B27" s="45" t="n">
        <f aca="false">SUM(B2:B26)</f>
        <v>1</v>
      </c>
      <c r="C27" s="46" t="n">
        <f aca="false">SUM(C2:C26)</f>
        <v>1</v>
      </c>
      <c r="D27" s="45" t="n">
        <f aca="false">SUM(D2:D26)</f>
        <v>1</v>
      </c>
      <c r="E27" s="46" t="n">
        <f aca="false">SUM(E2:E26)</f>
        <v>1</v>
      </c>
      <c r="F27" s="45" t="n">
        <f aca="false">SUM(F2:F26)</f>
        <v>1</v>
      </c>
      <c r="G27" s="46" t="n">
        <f aca="false">SUM(G2:G26)</f>
        <v>1</v>
      </c>
      <c r="H27" s="45" t="n">
        <f aca="false">SUM(H2:H26)</f>
        <v>1</v>
      </c>
      <c r="I27" s="46" t="n">
        <f aca="false">SUM(I2:I26)</f>
        <v>1</v>
      </c>
      <c r="J27" s="45" t="n">
        <f aca="false">SUM(J2:J26)</f>
        <v>1</v>
      </c>
      <c r="K27" s="46" t="n">
        <f aca="false">SUM(K2:K26)</f>
        <v>1</v>
      </c>
      <c r="L27" s="45" t="n">
        <f aca="false">SUM(L2:L26)</f>
        <v>1</v>
      </c>
      <c r="M27" s="46" t="n">
        <f aca="false">SUM(M2:M26)</f>
        <v>1</v>
      </c>
      <c r="N27" s="45" t="n">
        <f aca="false">SUM(N2:N26)</f>
        <v>1</v>
      </c>
      <c r="O27" s="46" t="n">
        <f aca="false">SUM(O2:O26)</f>
        <v>1</v>
      </c>
      <c r="P27" s="45" t="n">
        <f aca="false">SUM(P2:P26)</f>
        <v>1</v>
      </c>
      <c r="Q27" s="46" t="n">
        <f aca="false">SUM(Q2:Q26)</f>
        <v>1</v>
      </c>
      <c r="R27" s="45" t="n">
        <f aca="false">SUM(R2:R26)</f>
        <v>1</v>
      </c>
      <c r="S27" s="46" t="n">
        <f aca="false">SUM(S2:S26)</f>
        <v>1</v>
      </c>
      <c r="T27" s="45" t="n">
        <f aca="false">SUM(T2:T26)</f>
        <v>1</v>
      </c>
      <c r="U27" s="46" t="n">
        <f aca="false">SUM(U2:U26)</f>
        <v>1</v>
      </c>
      <c r="V27" s="45" t="n">
        <f aca="false">SUM(V2:V26)</f>
        <v>1</v>
      </c>
      <c r="W27" s="46" t="n">
        <f aca="false">SUM(W2:W26)</f>
        <v>1</v>
      </c>
      <c r="X27" s="45" t="n">
        <f aca="false">SUM(X2:X26)</f>
        <v>1</v>
      </c>
      <c r="Y27" s="46" t="n">
        <f aca="false">SUM(Y2:Y26)</f>
        <v>1</v>
      </c>
      <c r="Z27" s="47" t="n">
        <f aca="false">SUM(B27:Y27)*73</f>
        <v>1752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5" min="2" style="0" width="5.2"/>
    <col collapsed="false" customWidth="true" hidden="false" outlineLevel="0" max="26" min="26" style="0" width="11"/>
  </cols>
  <sheetData>
    <row r="1" customFormat="false" ht="15" hidden="false" customHeight="false" outlineLevel="0" collapsed="false">
      <c r="A1" s="1" t="s">
        <v>41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39</v>
      </c>
    </row>
    <row r="2" customFormat="false" ht="15" hidden="false" customHeight="false" outlineLevel="0" collapsed="false">
      <c r="A2" s="2" t="s">
        <v>13</v>
      </c>
      <c r="B2" s="3"/>
      <c r="C2" s="4"/>
      <c r="D2" s="3"/>
      <c r="E2" s="4"/>
      <c r="F2" s="5"/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28" t="n">
        <f aca="false">Z3+Z4</f>
        <v>292</v>
      </c>
    </row>
    <row r="3" customFormat="false" ht="15" hidden="false" customHeight="false" outlineLevel="0" collapsed="false">
      <c r="A3" s="7" t="s">
        <v>14</v>
      </c>
      <c r="B3" s="29" t="n">
        <v>1</v>
      </c>
      <c r="C3" s="6"/>
      <c r="D3" s="5"/>
      <c r="E3" s="6"/>
      <c r="F3" s="5"/>
      <c r="G3" s="6"/>
      <c r="H3" s="5"/>
      <c r="I3" s="6"/>
      <c r="J3" s="5"/>
      <c r="K3" s="6"/>
      <c r="L3" s="5"/>
      <c r="M3" s="6"/>
      <c r="N3" s="5"/>
      <c r="O3" s="6"/>
      <c r="P3" s="5"/>
      <c r="Q3" s="6"/>
      <c r="R3" s="5"/>
      <c r="S3" s="6"/>
      <c r="T3" s="5"/>
      <c r="U3" s="6"/>
      <c r="V3" s="5"/>
      <c r="W3" s="6"/>
      <c r="X3" s="5"/>
      <c r="Y3" s="6"/>
      <c r="Z3" s="30" t="n">
        <f aca="false">SUM(B3:Y3)*73</f>
        <v>73</v>
      </c>
    </row>
    <row r="4" customFormat="false" ht="15" hidden="false" customHeight="false" outlineLevel="0" collapsed="false">
      <c r="A4" s="7" t="s">
        <v>15</v>
      </c>
      <c r="B4" s="5"/>
      <c r="C4" s="31" t="n">
        <v>1</v>
      </c>
      <c r="D4" s="29" t="n">
        <v>1</v>
      </c>
      <c r="E4" s="31" t="n">
        <v>1</v>
      </c>
      <c r="F4" s="5"/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30" t="n">
        <f aca="false">SUM(B4:Y4)*73</f>
        <v>219</v>
      </c>
    </row>
    <row r="5" customFormat="false" ht="15" hidden="false" customHeight="false" outlineLevel="0" collapsed="false">
      <c r="A5" s="10" t="s">
        <v>16</v>
      </c>
      <c r="B5" s="5"/>
      <c r="C5" s="6"/>
      <c r="D5" s="5"/>
      <c r="E5" s="6"/>
      <c r="F5" s="11"/>
      <c r="G5" s="12"/>
      <c r="H5" s="11"/>
      <c r="I5" s="12"/>
      <c r="J5" s="11"/>
      <c r="K5" s="12"/>
      <c r="L5" s="11"/>
      <c r="M5" s="12"/>
      <c r="N5" s="11"/>
      <c r="O5" s="12"/>
      <c r="P5" s="11"/>
      <c r="Q5" s="12"/>
      <c r="R5" s="11"/>
      <c r="S5" s="12"/>
      <c r="T5" s="11"/>
      <c r="U5" s="12"/>
      <c r="V5" s="5"/>
      <c r="W5" s="6"/>
      <c r="X5" s="5"/>
      <c r="Y5" s="6"/>
      <c r="Z5" s="32" t="n">
        <f aca="false">Z6+Z7+Z8+Z9</f>
        <v>481.8</v>
      </c>
    </row>
    <row r="6" customFormat="false" ht="15" hidden="false" customHeight="false" outlineLevel="0" collapsed="false">
      <c r="A6" s="13" t="s">
        <v>17</v>
      </c>
      <c r="B6" s="5"/>
      <c r="C6" s="6"/>
      <c r="D6" s="5"/>
      <c r="E6" s="6"/>
      <c r="F6" s="33" t="n">
        <v>0.5</v>
      </c>
      <c r="G6" s="34" t="n">
        <v>0.5</v>
      </c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35" t="n">
        <f aca="false">SUM(B6:Y6)*73</f>
        <v>73</v>
      </c>
    </row>
    <row r="7" customFormat="false" ht="15" hidden="false" customHeight="false" outlineLevel="0" collapsed="false">
      <c r="A7" s="13" t="s">
        <v>18</v>
      </c>
      <c r="B7" s="5"/>
      <c r="C7" s="6"/>
      <c r="D7" s="5"/>
      <c r="E7" s="6"/>
      <c r="F7" s="5"/>
      <c r="G7" s="6"/>
      <c r="H7" s="33" t="n">
        <v>0.4</v>
      </c>
      <c r="I7" s="34" t="n">
        <v>0.4</v>
      </c>
      <c r="J7" s="33" t="n">
        <v>0.4</v>
      </c>
      <c r="K7" s="34" t="n">
        <v>0.4</v>
      </c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6"/>
      <c r="Z7" s="35" t="n">
        <f aca="false">SUM(B7:Y7)*73</f>
        <v>116.8</v>
      </c>
    </row>
    <row r="8" customFormat="false" ht="15" hidden="false" customHeight="false" outlineLevel="0" collapsed="false">
      <c r="A8" s="13" t="s">
        <v>19</v>
      </c>
      <c r="B8" s="5"/>
      <c r="C8" s="6"/>
      <c r="D8" s="5"/>
      <c r="E8" s="6"/>
      <c r="F8" s="5"/>
      <c r="G8" s="6"/>
      <c r="H8" s="5"/>
      <c r="I8" s="6"/>
      <c r="J8" s="5"/>
      <c r="K8" s="6"/>
      <c r="L8" s="33" t="n">
        <v>0.4</v>
      </c>
      <c r="M8" s="34" t="n">
        <v>0.4</v>
      </c>
      <c r="N8" s="33" t="n">
        <v>0.4</v>
      </c>
      <c r="O8" s="34" t="n">
        <v>0.4</v>
      </c>
      <c r="P8" s="33" t="n">
        <v>0.4</v>
      </c>
      <c r="Q8" s="6"/>
      <c r="R8" s="5"/>
      <c r="S8" s="6"/>
      <c r="T8" s="5"/>
      <c r="U8" s="6"/>
      <c r="V8" s="5"/>
      <c r="W8" s="6"/>
      <c r="X8" s="5"/>
      <c r="Y8" s="6"/>
      <c r="Z8" s="35" t="n">
        <f aca="false">SUM(B8:Y8)*73</f>
        <v>146</v>
      </c>
    </row>
    <row r="9" customFormat="false" ht="15" hidden="false" customHeight="false" outlineLevel="0" collapsed="false">
      <c r="A9" s="13" t="s">
        <v>20</v>
      </c>
      <c r="B9" s="5"/>
      <c r="C9" s="6"/>
      <c r="D9" s="5"/>
      <c r="E9" s="6"/>
      <c r="F9" s="5"/>
      <c r="G9" s="6"/>
      <c r="H9" s="5"/>
      <c r="I9" s="6"/>
      <c r="J9" s="5"/>
      <c r="K9" s="6"/>
      <c r="L9" s="5"/>
      <c r="M9" s="6"/>
      <c r="N9" s="5"/>
      <c r="O9" s="6"/>
      <c r="P9" s="5"/>
      <c r="Q9" s="34" t="n">
        <v>0.4</v>
      </c>
      <c r="R9" s="33" t="n">
        <v>0.4</v>
      </c>
      <c r="S9" s="34" t="n">
        <v>0.4</v>
      </c>
      <c r="T9" s="33" t="n">
        <v>0.4</v>
      </c>
      <c r="U9" s="34" t="n">
        <v>0.4</v>
      </c>
      <c r="V9" s="5"/>
      <c r="W9" s="6"/>
      <c r="X9" s="5"/>
      <c r="Y9" s="6"/>
      <c r="Z9" s="35" t="n">
        <f aca="false">SUM(B9:Y9)*73</f>
        <v>146</v>
      </c>
    </row>
    <row r="10" customFormat="false" ht="15" hidden="false" customHeight="false" outlineLevel="0" collapsed="false">
      <c r="A10" s="16" t="s">
        <v>21</v>
      </c>
      <c r="B10" s="5"/>
      <c r="C10" s="6"/>
      <c r="D10" s="5"/>
      <c r="E10" s="6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5"/>
      <c r="S10" s="6"/>
      <c r="T10" s="5"/>
      <c r="U10" s="6"/>
      <c r="V10" s="5"/>
      <c r="W10" s="6"/>
      <c r="X10" s="5"/>
      <c r="Y10" s="6"/>
      <c r="Z10" s="36" t="n">
        <f aca="false">Z11+Z12+Z13</f>
        <v>255.5</v>
      </c>
    </row>
    <row r="11" customFormat="false" ht="15" hidden="false" customHeight="false" outlineLevel="0" collapsed="false">
      <c r="A11" s="19" t="s">
        <v>22</v>
      </c>
      <c r="B11" s="5"/>
      <c r="C11" s="6"/>
      <c r="D11" s="5"/>
      <c r="E11" s="6"/>
      <c r="F11" s="37" t="n">
        <v>0.25</v>
      </c>
      <c r="G11" s="38" t="n">
        <v>0.25</v>
      </c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39" t="n">
        <f aca="false">SUM(B11:Y11)*73</f>
        <v>36.5</v>
      </c>
    </row>
    <row r="12" customFormat="false" ht="15" hidden="false" customHeight="false" outlineLevel="0" collapsed="false">
      <c r="A12" s="19" t="s">
        <v>23</v>
      </c>
      <c r="B12" s="5"/>
      <c r="C12" s="6"/>
      <c r="D12" s="5"/>
      <c r="E12" s="6"/>
      <c r="F12" s="5"/>
      <c r="G12" s="6"/>
      <c r="H12" s="37" t="n">
        <v>0.3</v>
      </c>
      <c r="I12" s="38" t="n">
        <v>0.3</v>
      </c>
      <c r="J12" s="37" t="n">
        <v>0.3</v>
      </c>
      <c r="K12" s="38" t="n">
        <v>0.3</v>
      </c>
      <c r="L12" s="37" t="n">
        <v>0.3</v>
      </c>
      <c r="M12" s="38" t="n">
        <v>0.3</v>
      </c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39" t="n">
        <f aca="false">SUM(B12:Y12)*73</f>
        <v>131.4</v>
      </c>
    </row>
    <row r="13" customFormat="false" ht="15" hidden="false" customHeight="false" outlineLevel="0" collapsed="false">
      <c r="A13" s="19" t="s">
        <v>24</v>
      </c>
      <c r="B13" s="5"/>
      <c r="C13" s="6"/>
      <c r="D13" s="5"/>
      <c r="E13" s="6"/>
      <c r="F13" s="5"/>
      <c r="G13" s="6"/>
      <c r="H13" s="5"/>
      <c r="I13" s="6"/>
      <c r="J13" s="5"/>
      <c r="K13" s="6"/>
      <c r="L13" s="5"/>
      <c r="M13" s="6"/>
      <c r="N13" s="37" t="n">
        <v>0.3</v>
      </c>
      <c r="O13" s="38" t="n">
        <v>0.3</v>
      </c>
      <c r="P13" s="37" t="n">
        <v>0.3</v>
      </c>
      <c r="Q13" s="38" t="n">
        <v>0.3</v>
      </c>
      <c r="R13" s="5"/>
      <c r="S13" s="6"/>
      <c r="T13" s="5"/>
      <c r="U13" s="6"/>
      <c r="V13" s="5"/>
      <c r="W13" s="6"/>
      <c r="X13" s="5"/>
      <c r="Y13" s="6"/>
      <c r="Z13" s="39" t="n">
        <f aca="false">SUM(B13:Y13)*73</f>
        <v>87.6</v>
      </c>
    </row>
    <row r="14" customFormat="false" ht="15" hidden="false" customHeight="false" outlineLevel="0" collapsed="false">
      <c r="A14" s="16" t="s">
        <v>25</v>
      </c>
      <c r="B14" s="5"/>
      <c r="C14" s="6"/>
      <c r="D14" s="5"/>
      <c r="E14" s="6"/>
      <c r="F14" s="5"/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17"/>
      <c r="S14" s="18"/>
      <c r="T14" s="17"/>
      <c r="U14" s="18"/>
      <c r="V14" s="5"/>
      <c r="W14" s="6"/>
      <c r="X14" s="5"/>
      <c r="Y14" s="6"/>
      <c r="Z14" s="36" t="n">
        <f aca="false">Z15+Z16</f>
        <v>87.6</v>
      </c>
    </row>
    <row r="15" customFormat="false" ht="15" hidden="false" customHeight="false" outlineLevel="0" collapsed="false">
      <c r="A15" s="19" t="s">
        <v>26</v>
      </c>
      <c r="B15" s="5"/>
      <c r="C15" s="6"/>
      <c r="D15" s="5"/>
      <c r="E15" s="6"/>
      <c r="F15" s="5"/>
      <c r="G15" s="6"/>
      <c r="H15" s="5"/>
      <c r="I15" s="6"/>
      <c r="J15" s="5"/>
      <c r="K15" s="6"/>
      <c r="L15" s="5"/>
      <c r="M15" s="6"/>
      <c r="N15" s="5"/>
      <c r="O15" s="6"/>
      <c r="P15" s="5"/>
      <c r="Q15" s="6"/>
      <c r="R15" s="37" t="n">
        <v>0.3</v>
      </c>
      <c r="S15" s="38" t="n">
        <v>0.3</v>
      </c>
      <c r="T15" s="5"/>
      <c r="U15" s="6"/>
      <c r="V15" s="5"/>
      <c r="W15" s="6"/>
      <c r="X15" s="5"/>
      <c r="Y15" s="6"/>
      <c r="Z15" s="39" t="n">
        <f aca="false">SUM(B15:Y15)*73</f>
        <v>43.8</v>
      </c>
    </row>
    <row r="16" customFormat="false" ht="15" hidden="false" customHeight="false" outlineLevel="0" collapsed="false">
      <c r="A16" s="19" t="s">
        <v>27</v>
      </c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37" t="n">
        <v>0.3</v>
      </c>
      <c r="U16" s="38" t="n">
        <v>0.3</v>
      </c>
      <c r="V16" s="5"/>
      <c r="W16" s="6"/>
      <c r="X16" s="5"/>
      <c r="Y16" s="6"/>
      <c r="Z16" s="39" t="n">
        <f aca="false">SUM(B16:Y16)*73</f>
        <v>43.8</v>
      </c>
    </row>
    <row r="17" customFormat="false" ht="15" hidden="false" customHeight="false" outlineLevel="0" collapsed="false">
      <c r="A17" s="22" t="s">
        <v>28</v>
      </c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23"/>
      <c r="S17" s="24"/>
      <c r="T17" s="23"/>
      <c r="U17" s="24"/>
      <c r="V17" s="5"/>
      <c r="W17" s="6"/>
      <c r="X17" s="5"/>
      <c r="Y17" s="6"/>
      <c r="Z17" s="40" t="n">
        <f aca="false">Z18+Z19</f>
        <v>87.6</v>
      </c>
    </row>
    <row r="18" customFormat="false" ht="15" hidden="false" customHeight="false" outlineLevel="0" collapsed="false">
      <c r="A18" s="25" t="s">
        <v>29</v>
      </c>
      <c r="B18" s="5"/>
      <c r="C18" s="6"/>
      <c r="D18" s="5"/>
      <c r="E18" s="6"/>
      <c r="F18" s="5"/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41" t="n">
        <v>0.3</v>
      </c>
      <c r="S18" s="42" t="n">
        <v>0.3</v>
      </c>
      <c r="T18" s="5"/>
      <c r="U18" s="6"/>
      <c r="V18" s="5"/>
      <c r="W18" s="6"/>
      <c r="X18" s="5"/>
      <c r="Y18" s="6"/>
      <c r="Z18" s="43" t="n">
        <f aca="false">SUM(B18:Y18)*73</f>
        <v>43.8</v>
      </c>
    </row>
    <row r="19" customFormat="false" ht="15" hidden="false" customHeight="false" outlineLevel="0" collapsed="false">
      <c r="A19" s="25" t="s">
        <v>30</v>
      </c>
      <c r="B19" s="5"/>
      <c r="C19" s="6"/>
      <c r="D19" s="5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41" t="n">
        <v>0.3</v>
      </c>
      <c r="U19" s="42" t="n">
        <v>0.3</v>
      </c>
      <c r="V19" s="5"/>
      <c r="W19" s="6"/>
      <c r="X19" s="5"/>
      <c r="Y19" s="6"/>
      <c r="Z19" s="43" t="n">
        <f aca="false">SUM(B19:Y19)*73</f>
        <v>43.8</v>
      </c>
    </row>
    <row r="20" customFormat="false" ht="15" hidden="false" customHeight="false" outlineLevel="0" collapsed="false">
      <c r="A20" s="22" t="s">
        <v>31</v>
      </c>
      <c r="B20" s="5"/>
      <c r="C20" s="6"/>
      <c r="D20" s="5"/>
      <c r="E20" s="6"/>
      <c r="F20" s="23"/>
      <c r="G20" s="24"/>
      <c r="H20" s="23"/>
      <c r="I20" s="24"/>
      <c r="J20" s="23"/>
      <c r="K20" s="24"/>
      <c r="L20" s="23"/>
      <c r="M20" s="24"/>
      <c r="N20" s="23"/>
      <c r="O20" s="24"/>
      <c r="P20" s="23"/>
      <c r="Q20" s="24"/>
      <c r="R20" s="5"/>
      <c r="S20" s="6"/>
      <c r="T20" s="5"/>
      <c r="U20" s="6"/>
      <c r="V20" s="5"/>
      <c r="W20" s="6"/>
      <c r="X20" s="5"/>
      <c r="Y20" s="6"/>
      <c r="Z20" s="40" t="n">
        <f aca="false">Z21+Z22+Z23</f>
        <v>255.5</v>
      </c>
    </row>
    <row r="21" customFormat="false" ht="15" hidden="false" customHeight="false" outlineLevel="0" collapsed="false">
      <c r="A21" s="25" t="s">
        <v>32</v>
      </c>
      <c r="B21" s="5"/>
      <c r="C21" s="6"/>
      <c r="D21" s="5"/>
      <c r="E21" s="6"/>
      <c r="F21" s="41" t="n">
        <v>0.25</v>
      </c>
      <c r="G21" s="42" t="n">
        <v>0.25</v>
      </c>
      <c r="H21" s="41" t="n">
        <v>0.3</v>
      </c>
      <c r="I21" s="42" t="n">
        <v>0.3</v>
      </c>
      <c r="J21" s="41" t="n">
        <v>0.3</v>
      </c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6"/>
      <c r="Z21" s="43" t="n">
        <f aca="false">SUM(B21:Y21)*73</f>
        <v>102.2</v>
      </c>
    </row>
    <row r="22" customFormat="false" ht="15" hidden="false" customHeight="false" outlineLevel="0" collapsed="false">
      <c r="A22" s="25" t="s">
        <v>33</v>
      </c>
      <c r="B22" s="5"/>
      <c r="C22" s="6"/>
      <c r="D22" s="5"/>
      <c r="E22" s="6"/>
      <c r="F22" s="5"/>
      <c r="G22" s="6"/>
      <c r="H22" s="5"/>
      <c r="I22" s="6"/>
      <c r="J22" s="5"/>
      <c r="K22" s="42" t="n">
        <v>0.3</v>
      </c>
      <c r="L22" s="41" t="n">
        <v>0.3</v>
      </c>
      <c r="M22" s="42" t="n">
        <v>0.3</v>
      </c>
      <c r="N22" s="41" t="n">
        <v>0.3</v>
      </c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43" t="n">
        <f aca="false">SUM(B22:Y22)*73</f>
        <v>87.6</v>
      </c>
    </row>
    <row r="23" customFormat="false" ht="15" hidden="false" customHeight="false" outlineLevel="0" collapsed="false">
      <c r="A23" s="25" t="s">
        <v>34</v>
      </c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42" t="n">
        <v>0.3</v>
      </c>
      <c r="P23" s="41" t="n">
        <v>0.3</v>
      </c>
      <c r="Q23" s="42" t="n">
        <v>0.3</v>
      </c>
      <c r="R23" s="5"/>
      <c r="S23" s="6"/>
      <c r="T23" s="5"/>
      <c r="U23" s="6"/>
      <c r="V23" s="5"/>
      <c r="W23" s="6"/>
      <c r="X23" s="5"/>
      <c r="Y23" s="6"/>
      <c r="Z23" s="43" t="n">
        <f aca="false">SUM(B23:Y23)*73</f>
        <v>65.7</v>
      </c>
    </row>
    <row r="24" customFormat="false" ht="15" hidden="false" customHeight="false" outlineLevel="0" collapsed="false">
      <c r="A24" s="2" t="s">
        <v>35</v>
      </c>
      <c r="B24" s="5"/>
      <c r="C24" s="6"/>
      <c r="D24" s="5"/>
      <c r="E24" s="6"/>
      <c r="F24" s="5"/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3"/>
      <c r="W24" s="4"/>
      <c r="X24" s="3"/>
      <c r="Y24" s="4"/>
      <c r="Z24" s="28" t="n">
        <f aca="false">Z25+Z26</f>
        <v>292</v>
      </c>
    </row>
    <row r="25" customFormat="false" ht="15" hidden="false" customHeight="false" outlineLevel="0" collapsed="false">
      <c r="A25" s="7" t="s">
        <v>36</v>
      </c>
      <c r="B25" s="5"/>
      <c r="C25" s="6"/>
      <c r="D25" s="5"/>
      <c r="E25" s="6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29" t="n">
        <v>1</v>
      </c>
      <c r="W25" s="31" t="n">
        <v>1</v>
      </c>
      <c r="X25" s="29" t="n">
        <v>1</v>
      </c>
      <c r="Y25" s="6"/>
      <c r="Z25" s="30" t="n">
        <f aca="false">SUM(B25:Y25)*73</f>
        <v>219</v>
      </c>
    </row>
    <row r="26" customFormat="false" ht="15" hidden="false" customHeight="false" outlineLevel="0" collapsed="false">
      <c r="A26" s="7" t="s">
        <v>37</v>
      </c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31" t="n">
        <v>1</v>
      </c>
      <c r="Z26" s="30" t="n">
        <f aca="false">SUM(B26:Y26)*73</f>
        <v>73</v>
      </c>
    </row>
    <row r="27" customFormat="false" ht="15" hidden="false" customHeight="false" outlineLevel="0" collapsed="false">
      <c r="A27" s="44" t="s">
        <v>40</v>
      </c>
      <c r="B27" s="45" t="n">
        <f aca="false">SUM(B2:B26)</f>
        <v>1</v>
      </c>
      <c r="C27" s="46" t="n">
        <f aca="false">SUM(C2:C26)</f>
        <v>1</v>
      </c>
      <c r="D27" s="45" t="n">
        <f aca="false">SUM(D2:D26)</f>
        <v>1</v>
      </c>
      <c r="E27" s="46" t="n">
        <f aca="false">SUM(E2:E26)</f>
        <v>1</v>
      </c>
      <c r="F27" s="45" t="n">
        <f aca="false">SUM(F2:F26)</f>
        <v>1</v>
      </c>
      <c r="G27" s="46" t="n">
        <f aca="false">SUM(G2:G26)</f>
        <v>1</v>
      </c>
      <c r="H27" s="45" t="n">
        <f aca="false">SUM(H2:H26)</f>
        <v>1</v>
      </c>
      <c r="I27" s="46" t="n">
        <f aca="false">SUM(I2:I26)</f>
        <v>1</v>
      </c>
      <c r="J27" s="45" t="n">
        <f aca="false">SUM(J2:J26)</f>
        <v>1</v>
      </c>
      <c r="K27" s="46" t="n">
        <f aca="false">SUM(K2:K26)</f>
        <v>1</v>
      </c>
      <c r="L27" s="45" t="n">
        <f aca="false">SUM(L2:L26)</f>
        <v>1</v>
      </c>
      <c r="M27" s="46" t="n">
        <f aca="false">SUM(M2:M26)</f>
        <v>1</v>
      </c>
      <c r="N27" s="45" t="n">
        <f aca="false">SUM(N2:N26)</f>
        <v>1</v>
      </c>
      <c r="O27" s="46" t="n">
        <f aca="false">SUM(O2:O26)</f>
        <v>1</v>
      </c>
      <c r="P27" s="45" t="n">
        <f aca="false">SUM(P2:P26)</f>
        <v>1</v>
      </c>
      <c r="Q27" s="46" t="n">
        <f aca="false">SUM(Q2:Q26)</f>
        <v>1</v>
      </c>
      <c r="R27" s="45" t="n">
        <f aca="false">SUM(R2:R26)</f>
        <v>1</v>
      </c>
      <c r="S27" s="46" t="n">
        <f aca="false">SUM(S2:S26)</f>
        <v>1</v>
      </c>
      <c r="T27" s="45" t="n">
        <f aca="false">SUM(T2:T26)</f>
        <v>1</v>
      </c>
      <c r="U27" s="46" t="n">
        <f aca="false">SUM(U2:U26)</f>
        <v>1</v>
      </c>
      <c r="V27" s="45" t="n">
        <f aca="false">SUM(V2:V26)</f>
        <v>1</v>
      </c>
      <c r="W27" s="46" t="n">
        <f aca="false">SUM(W2:W26)</f>
        <v>1</v>
      </c>
      <c r="X27" s="45" t="n">
        <f aca="false">SUM(X2:X26)</f>
        <v>1</v>
      </c>
      <c r="Y27" s="46" t="n">
        <f aca="false">SUM(Y2:Y26)</f>
        <v>1</v>
      </c>
      <c r="Z27" s="47" t="n">
        <f aca="false">SUM(B27:Y27)*73</f>
        <v>1752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5" min="2" style="0" width="5.2"/>
    <col collapsed="false" customWidth="true" hidden="false" outlineLevel="0" max="26" min="26" style="0" width="11"/>
  </cols>
  <sheetData>
    <row r="1" customFormat="false" ht="15" hidden="false" customHeight="false" outlineLevel="0" collapsed="false">
      <c r="A1" s="1" t="s">
        <v>42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39</v>
      </c>
    </row>
    <row r="2" customFormat="false" ht="15" hidden="false" customHeight="false" outlineLevel="0" collapsed="false">
      <c r="A2" s="2" t="s">
        <v>13</v>
      </c>
      <c r="B2" s="3"/>
      <c r="C2" s="4"/>
      <c r="D2" s="3"/>
      <c r="E2" s="4"/>
      <c r="F2" s="5"/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28" t="n">
        <f aca="false">Z3+Z4</f>
        <v>1168</v>
      </c>
    </row>
    <row r="3" customFormat="false" ht="15" hidden="false" customHeight="false" outlineLevel="0" collapsed="false">
      <c r="A3" s="7" t="s">
        <v>14</v>
      </c>
      <c r="B3" s="29" t="n">
        <v>4</v>
      </c>
      <c r="C3" s="6"/>
      <c r="D3" s="5"/>
      <c r="E3" s="6"/>
      <c r="F3" s="5"/>
      <c r="G3" s="6"/>
      <c r="H3" s="5"/>
      <c r="I3" s="6"/>
      <c r="J3" s="5"/>
      <c r="K3" s="6"/>
      <c r="L3" s="5"/>
      <c r="M3" s="6"/>
      <c r="N3" s="5"/>
      <c r="O3" s="6"/>
      <c r="P3" s="5"/>
      <c r="Q3" s="6"/>
      <c r="R3" s="5"/>
      <c r="S3" s="6"/>
      <c r="T3" s="5"/>
      <c r="U3" s="6"/>
      <c r="V3" s="5"/>
      <c r="W3" s="6"/>
      <c r="X3" s="5"/>
      <c r="Y3" s="6"/>
      <c r="Z3" s="30" t="n">
        <f aca="false">SUM(B3:Y3)*73</f>
        <v>292</v>
      </c>
    </row>
    <row r="4" customFormat="false" ht="15" hidden="false" customHeight="false" outlineLevel="0" collapsed="false">
      <c r="A4" s="7" t="s">
        <v>15</v>
      </c>
      <c r="B4" s="5"/>
      <c r="C4" s="31" t="n">
        <v>4</v>
      </c>
      <c r="D4" s="29" t="n">
        <v>4</v>
      </c>
      <c r="E4" s="31" t="n">
        <v>4</v>
      </c>
      <c r="F4" s="5"/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30" t="n">
        <f aca="false">SUM(B4:Y4)*73</f>
        <v>876</v>
      </c>
    </row>
    <row r="5" customFormat="false" ht="15" hidden="false" customHeight="false" outlineLevel="0" collapsed="false">
      <c r="A5" s="10" t="s">
        <v>16</v>
      </c>
      <c r="B5" s="5"/>
      <c r="C5" s="6"/>
      <c r="D5" s="5"/>
      <c r="E5" s="6"/>
      <c r="F5" s="11"/>
      <c r="G5" s="12"/>
      <c r="H5" s="11"/>
      <c r="I5" s="12"/>
      <c r="J5" s="11"/>
      <c r="K5" s="12"/>
      <c r="L5" s="11"/>
      <c r="M5" s="12"/>
      <c r="N5" s="11"/>
      <c r="O5" s="12"/>
      <c r="P5" s="11"/>
      <c r="Q5" s="12"/>
      <c r="R5" s="11"/>
      <c r="S5" s="12"/>
      <c r="T5" s="11"/>
      <c r="U5" s="12"/>
      <c r="V5" s="5"/>
      <c r="W5" s="6"/>
      <c r="X5" s="5"/>
      <c r="Y5" s="6"/>
      <c r="Z5" s="32" t="n">
        <f aca="false">Z6+Z7+Z8+Z9</f>
        <v>2336</v>
      </c>
    </row>
    <row r="6" customFormat="false" ht="15" hidden="false" customHeight="false" outlineLevel="0" collapsed="false">
      <c r="A6" s="13" t="s">
        <v>17</v>
      </c>
      <c r="B6" s="5"/>
      <c r="C6" s="6"/>
      <c r="D6" s="5"/>
      <c r="E6" s="6"/>
      <c r="F6" s="33" t="n">
        <v>2</v>
      </c>
      <c r="G6" s="34" t="n">
        <v>2</v>
      </c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35" t="n">
        <f aca="false">SUM(B6:Y6)*73</f>
        <v>292</v>
      </c>
    </row>
    <row r="7" customFormat="false" ht="15" hidden="false" customHeight="false" outlineLevel="0" collapsed="false">
      <c r="A7" s="13" t="s">
        <v>18</v>
      </c>
      <c r="B7" s="5"/>
      <c r="C7" s="6"/>
      <c r="D7" s="5"/>
      <c r="E7" s="6"/>
      <c r="F7" s="5"/>
      <c r="G7" s="6"/>
      <c r="H7" s="33" t="n">
        <v>2</v>
      </c>
      <c r="I7" s="34" t="n">
        <v>2</v>
      </c>
      <c r="J7" s="33" t="n">
        <v>2</v>
      </c>
      <c r="K7" s="34" t="n">
        <v>2</v>
      </c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6"/>
      <c r="Z7" s="35" t="n">
        <f aca="false">SUM(B7:Y7)*73</f>
        <v>584</v>
      </c>
    </row>
    <row r="8" customFormat="false" ht="15" hidden="false" customHeight="false" outlineLevel="0" collapsed="false">
      <c r="A8" s="13" t="s">
        <v>19</v>
      </c>
      <c r="B8" s="5"/>
      <c r="C8" s="6"/>
      <c r="D8" s="5"/>
      <c r="E8" s="6"/>
      <c r="F8" s="5"/>
      <c r="G8" s="6"/>
      <c r="H8" s="5"/>
      <c r="I8" s="6"/>
      <c r="J8" s="5"/>
      <c r="K8" s="6"/>
      <c r="L8" s="33" t="n">
        <v>2</v>
      </c>
      <c r="M8" s="34" t="n">
        <v>2</v>
      </c>
      <c r="N8" s="33" t="n">
        <v>2</v>
      </c>
      <c r="O8" s="34" t="n">
        <v>2</v>
      </c>
      <c r="P8" s="33" t="n">
        <v>2</v>
      </c>
      <c r="Q8" s="6"/>
      <c r="R8" s="5"/>
      <c r="S8" s="6"/>
      <c r="T8" s="5"/>
      <c r="U8" s="6"/>
      <c r="V8" s="5"/>
      <c r="W8" s="6"/>
      <c r="X8" s="5"/>
      <c r="Y8" s="6"/>
      <c r="Z8" s="35" t="n">
        <f aca="false">SUM(B8:Y8)*73</f>
        <v>730</v>
      </c>
    </row>
    <row r="9" customFormat="false" ht="15" hidden="false" customHeight="false" outlineLevel="0" collapsed="false">
      <c r="A9" s="13" t="s">
        <v>20</v>
      </c>
      <c r="B9" s="5"/>
      <c r="C9" s="6"/>
      <c r="D9" s="5"/>
      <c r="E9" s="6"/>
      <c r="F9" s="5"/>
      <c r="G9" s="6"/>
      <c r="H9" s="5"/>
      <c r="I9" s="6"/>
      <c r="J9" s="5"/>
      <c r="K9" s="6"/>
      <c r="L9" s="5"/>
      <c r="M9" s="6"/>
      <c r="N9" s="5"/>
      <c r="O9" s="6"/>
      <c r="P9" s="5"/>
      <c r="Q9" s="34" t="n">
        <v>2</v>
      </c>
      <c r="R9" s="33" t="n">
        <v>2</v>
      </c>
      <c r="S9" s="34" t="n">
        <v>2</v>
      </c>
      <c r="T9" s="33" t="n">
        <v>2</v>
      </c>
      <c r="U9" s="34" t="n">
        <v>2</v>
      </c>
      <c r="V9" s="5"/>
      <c r="W9" s="6"/>
      <c r="X9" s="5"/>
      <c r="Y9" s="6"/>
      <c r="Z9" s="35" t="n">
        <f aca="false">SUM(B9:Y9)*73</f>
        <v>730</v>
      </c>
    </row>
    <row r="10" customFormat="false" ht="15" hidden="false" customHeight="false" outlineLevel="0" collapsed="false">
      <c r="A10" s="16" t="s">
        <v>21</v>
      </c>
      <c r="B10" s="5"/>
      <c r="C10" s="6"/>
      <c r="D10" s="5"/>
      <c r="E10" s="6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5"/>
      <c r="S10" s="6"/>
      <c r="T10" s="5"/>
      <c r="U10" s="6"/>
      <c r="V10" s="5"/>
      <c r="W10" s="6"/>
      <c r="X10" s="5"/>
      <c r="Y10" s="6"/>
      <c r="Z10" s="36" t="n">
        <f aca="false">Z11+Z12+Z13</f>
        <v>876</v>
      </c>
    </row>
    <row r="11" customFormat="false" ht="15" hidden="false" customHeight="false" outlineLevel="0" collapsed="false">
      <c r="A11" s="19" t="s">
        <v>22</v>
      </c>
      <c r="B11" s="5"/>
      <c r="C11" s="6"/>
      <c r="D11" s="5"/>
      <c r="E11" s="6"/>
      <c r="F11" s="37" t="n">
        <v>1</v>
      </c>
      <c r="G11" s="38" t="n">
        <v>1</v>
      </c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39" t="n">
        <f aca="false">SUM(B11:Y11)*73</f>
        <v>146</v>
      </c>
    </row>
    <row r="12" customFormat="false" ht="15" hidden="false" customHeight="false" outlineLevel="0" collapsed="false">
      <c r="A12" s="19" t="s">
        <v>23</v>
      </c>
      <c r="B12" s="5"/>
      <c r="C12" s="6"/>
      <c r="D12" s="5"/>
      <c r="E12" s="6"/>
      <c r="F12" s="5"/>
      <c r="G12" s="6"/>
      <c r="H12" s="37" t="n">
        <v>1</v>
      </c>
      <c r="I12" s="38" t="n">
        <v>1</v>
      </c>
      <c r="J12" s="37" t="n">
        <v>1</v>
      </c>
      <c r="K12" s="38" t="n">
        <v>1</v>
      </c>
      <c r="L12" s="37" t="n">
        <v>1</v>
      </c>
      <c r="M12" s="38" t="n">
        <v>1</v>
      </c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39" t="n">
        <f aca="false">SUM(B12:Y12)*73</f>
        <v>438</v>
      </c>
    </row>
    <row r="13" customFormat="false" ht="15" hidden="false" customHeight="false" outlineLevel="0" collapsed="false">
      <c r="A13" s="19" t="s">
        <v>24</v>
      </c>
      <c r="B13" s="5"/>
      <c r="C13" s="6"/>
      <c r="D13" s="5"/>
      <c r="E13" s="6"/>
      <c r="F13" s="5"/>
      <c r="G13" s="6"/>
      <c r="H13" s="5"/>
      <c r="I13" s="6"/>
      <c r="J13" s="5"/>
      <c r="K13" s="6"/>
      <c r="L13" s="5"/>
      <c r="M13" s="6"/>
      <c r="N13" s="37" t="n">
        <v>1</v>
      </c>
      <c r="O13" s="38" t="n">
        <v>1</v>
      </c>
      <c r="P13" s="37" t="n">
        <v>1</v>
      </c>
      <c r="Q13" s="38" t="n">
        <v>1</v>
      </c>
      <c r="R13" s="5"/>
      <c r="S13" s="6"/>
      <c r="T13" s="5"/>
      <c r="U13" s="6"/>
      <c r="V13" s="5"/>
      <c r="W13" s="6"/>
      <c r="X13" s="5"/>
      <c r="Y13" s="6"/>
      <c r="Z13" s="39" t="n">
        <f aca="false">SUM(B13:Y13)*73</f>
        <v>292</v>
      </c>
    </row>
    <row r="14" customFormat="false" ht="15" hidden="false" customHeight="false" outlineLevel="0" collapsed="false">
      <c r="A14" s="16" t="s">
        <v>25</v>
      </c>
      <c r="B14" s="5"/>
      <c r="C14" s="6"/>
      <c r="D14" s="5"/>
      <c r="E14" s="6"/>
      <c r="F14" s="5"/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17"/>
      <c r="S14" s="18"/>
      <c r="T14" s="17"/>
      <c r="U14" s="18"/>
      <c r="V14" s="5"/>
      <c r="W14" s="6"/>
      <c r="X14" s="5"/>
      <c r="Y14" s="6"/>
      <c r="Z14" s="36" t="n">
        <f aca="false">Z15+Z16</f>
        <v>292</v>
      </c>
    </row>
    <row r="15" customFormat="false" ht="15" hidden="false" customHeight="false" outlineLevel="0" collapsed="false">
      <c r="A15" s="19" t="s">
        <v>26</v>
      </c>
      <c r="B15" s="5"/>
      <c r="C15" s="6"/>
      <c r="D15" s="5"/>
      <c r="E15" s="6"/>
      <c r="F15" s="5"/>
      <c r="G15" s="6"/>
      <c r="H15" s="5"/>
      <c r="I15" s="6"/>
      <c r="J15" s="5"/>
      <c r="K15" s="6"/>
      <c r="L15" s="5"/>
      <c r="M15" s="6"/>
      <c r="N15" s="5"/>
      <c r="O15" s="6"/>
      <c r="P15" s="5"/>
      <c r="Q15" s="6"/>
      <c r="R15" s="37" t="n">
        <v>1</v>
      </c>
      <c r="S15" s="38" t="n">
        <v>1</v>
      </c>
      <c r="T15" s="5"/>
      <c r="U15" s="6"/>
      <c r="V15" s="5"/>
      <c r="W15" s="6"/>
      <c r="X15" s="5"/>
      <c r="Y15" s="6"/>
      <c r="Z15" s="39" t="n">
        <f aca="false">SUM(B15:Y15)*73</f>
        <v>146</v>
      </c>
    </row>
    <row r="16" customFormat="false" ht="15" hidden="false" customHeight="false" outlineLevel="0" collapsed="false">
      <c r="A16" s="19" t="s">
        <v>27</v>
      </c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37" t="n">
        <v>1</v>
      </c>
      <c r="U16" s="38" t="n">
        <v>1</v>
      </c>
      <c r="V16" s="5"/>
      <c r="W16" s="6"/>
      <c r="X16" s="5"/>
      <c r="Y16" s="6"/>
      <c r="Z16" s="39" t="n">
        <f aca="false">SUM(B16:Y16)*73</f>
        <v>146</v>
      </c>
    </row>
    <row r="17" customFormat="false" ht="15" hidden="false" customHeight="false" outlineLevel="0" collapsed="false">
      <c r="A17" s="22" t="s">
        <v>28</v>
      </c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23"/>
      <c r="S17" s="24"/>
      <c r="T17" s="23"/>
      <c r="U17" s="24"/>
      <c r="V17" s="5"/>
      <c r="W17" s="6"/>
      <c r="X17" s="5"/>
      <c r="Y17" s="6"/>
      <c r="Z17" s="40" t="n">
        <f aca="false">Z18+Z19</f>
        <v>292</v>
      </c>
    </row>
    <row r="18" customFormat="false" ht="15" hidden="false" customHeight="false" outlineLevel="0" collapsed="false">
      <c r="A18" s="25" t="s">
        <v>29</v>
      </c>
      <c r="B18" s="5"/>
      <c r="C18" s="6"/>
      <c r="D18" s="5"/>
      <c r="E18" s="6"/>
      <c r="F18" s="5"/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41" t="n">
        <v>1</v>
      </c>
      <c r="S18" s="42" t="n">
        <v>1</v>
      </c>
      <c r="T18" s="5"/>
      <c r="U18" s="6"/>
      <c r="V18" s="5"/>
      <c r="W18" s="6"/>
      <c r="X18" s="5"/>
      <c r="Y18" s="6"/>
      <c r="Z18" s="43" t="n">
        <f aca="false">SUM(B18:Y18)*73</f>
        <v>146</v>
      </c>
    </row>
    <row r="19" customFormat="false" ht="15" hidden="false" customHeight="false" outlineLevel="0" collapsed="false">
      <c r="A19" s="25" t="s">
        <v>30</v>
      </c>
      <c r="B19" s="5"/>
      <c r="C19" s="6"/>
      <c r="D19" s="5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41" t="n">
        <v>1</v>
      </c>
      <c r="U19" s="42" t="n">
        <v>1</v>
      </c>
      <c r="V19" s="5"/>
      <c r="W19" s="6"/>
      <c r="X19" s="5"/>
      <c r="Y19" s="6"/>
      <c r="Z19" s="43" t="n">
        <f aca="false">SUM(B19:Y19)*73</f>
        <v>146</v>
      </c>
    </row>
    <row r="20" customFormat="false" ht="15" hidden="false" customHeight="false" outlineLevel="0" collapsed="false">
      <c r="A20" s="22" t="s">
        <v>31</v>
      </c>
      <c r="B20" s="5"/>
      <c r="C20" s="6"/>
      <c r="D20" s="5"/>
      <c r="E20" s="6"/>
      <c r="F20" s="23"/>
      <c r="G20" s="24"/>
      <c r="H20" s="23"/>
      <c r="I20" s="24"/>
      <c r="J20" s="23"/>
      <c r="K20" s="24"/>
      <c r="L20" s="23"/>
      <c r="M20" s="24"/>
      <c r="N20" s="23"/>
      <c r="O20" s="24"/>
      <c r="P20" s="23"/>
      <c r="Q20" s="24"/>
      <c r="R20" s="5"/>
      <c r="S20" s="6"/>
      <c r="T20" s="5"/>
      <c r="U20" s="6"/>
      <c r="V20" s="5"/>
      <c r="W20" s="6"/>
      <c r="X20" s="5"/>
      <c r="Y20" s="6"/>
      <c r="Z20" s="40" t="n">
        <f aca="false">Z21+Z22+Z23</f>
        <v>876</v>
      </c>
    </row>
    <row r="21" customFormat="false" ht="15" hidden="false" customHeight="false" outlineLevel="0" collapsed="false">
      <c r="A21" s="25" t="s">
        <v>32</v>
      </c>
      <c r="B21" s="5"/>
      <c r="C21" s="6"/>
      <c r="D21" s="5"/>
      <c r="E21" s="6"/>
      <c r="F21" s="41" t="n">
        <v>1</v>
      </c>
      <c r="G21" s="42" t="n">
        <v>1</v>
      </c>
      <c r="H21" s="41" t="n">
        <v>1</v>
      </c>
      <c r="I21" s="42" t="n">
        <v>1</v>
      </c>
      <c r="J21" s="41" t="n">
        <v>1</v>
      </c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6"/>
      <c r="Z21" s="43" t="n">
        <f aca="false">SUM(B21:Y21)*73</f>
        <v>365</v>
      </c>
    </row>
    <row r="22" customFormat="false" ht="15" hidden="false" customHeight="false" outlineLevel="0" collapsed="false">
      <c r="A22" s="25" t="s">
        <v>33</v>
      </c>
      <c r="B22" s="5"/>
      <c r="C22" s="6"/>
      <c r="D22" s="5"/>
      <c r="E22" s="6"/>
      <c r="F22" s="5"/>
      <c r="G22" s="6"/>
      <c r="H22" s="5"/>
      <c r="I22" s="6"/>
      <c r="J22" s="5"/>
      <c r="K22" s="42" t="n">
        <v>1</v>
      </c>
      <c r="L22" s="41" t="n">
        <v>1</v>
      </c>
      <c r="M22" s="42" t="n">
        <v>1</v>
      </c>
      <c r="N22" s="41" t="n">
        <v>1</v>
      </c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43" t="n">
        <f aca="false">SUM(B22:Y22)*73</f>
        <v>292</v>
      </c>
    </row>
    <row r="23" customFormat="false" ht="15" hidden="false" customHeight="false" outlineLevel="0" collapsed="false">
      <c r="A23" s="25" t="s">
        <v>34</v>
      </c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42" t="n">
        <v>1</v>
      </c>
      <c r="P23" s="41" t="n">
        <v>1</v>
      </c>
      <c r="Q23" s="42" t="n">
        <v>1</v>
      </c>
      <c r="R23" s="5"/>
      <c r="S23" s="6"/>
      <c r="T23" s="5"/>
      <c r="U23" s="6"/>
      <c r="V23" s="5"/>
      <c r="W23" s="6"/>
      <c r="X23" s="5"/>
      <c r="Y23" s="6"/>
      <c r="Z23" s="43" t="n">
        <f aca="false">SUM(B23:Y23)*73</f>
        <v>219</v>
      </c>
    </row>
    <row r="24" customFormat="false" ht="15" hidden="false" customHeight="false" outlineLevel="0" collapsed="false">
      <c r="A24" s="2" t="s">
        <v>35</v>
      </c>
      <c r="B24" s="5"/>
      <c r="C24" s="6"/>
      <c r="D24" s="5"/>
      <c r="E24" s="6"/>
      <c r="F24" s="5"/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3"/>
      <c r="W24" s="4"/>
      <c r="X24" s="3"/>
      <c r="Y24" s="4"/>
      <c r="Z24" s="28" t="n">
        <f aca="false">Z25+Z26</f>
        <v>1168</v>
      </c>
    </row>
    <row r="25" customFormat="false" ht="15" hidden="false" customHeight="false" outlineLevel="0" collapsed="false">
      <c r="A25" s="7" t="s">
        <v>36</v>
      </c>
      <c r="B25" s="5"/>
      <c r="C25" s="6"/>
      <c r="D25" s="5"/>
      <c r="E25" s="6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29" t="n">
        <v>4</v>
      </c>
      <c r="W25" s="31" t="n">
        <v>4</v>
      </c>
      <c r="X25" s="29" t="n">
        <v>4</v>
      </c>
      <c r="Y25" s="6"/>
      <c r="Z25" s="30" t="n">
        <f aca="false">SUM(B25:Y25)*73</f>
        <v>876</v>
      </c>
    </row>
    <row r="26" customFormat="false" ht="15" hidden="false" customHeight="false" outlineLevel="0" collapsed="false">
      <c r="A26" s="7" t="s">
        <v>37</v>
      </c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31" t="n">
        <v>4</v>
      </c>
      <c r="Z26" s="30" t="n">
        <f aca="false">SUM(B26:Y26)*73</f>
        <v>292</v>
      </c>
    </row>
    <row r="27" customFormat="false" ht="15" hidden="false" customHeight="false" outlineLevel="0" collapsed="false">
      <c r="A27" s="44" t="s">
        <v>40</v>
      </c>
      <c r="B27" s="45" t="n">
        <f aca="false">SUM(B2:B26)</f>
        <v>4</v>
      </c>
      <c r="C27" s="46" t="n">
        <f aca="false">SUM(C2:C26)</f>
        <v>4</v>
      </c>
      <c r="D27" s="45" t="n">
        <f aca="false">SUM(D2:D26)</f>
        <v>4</v>
      </c>
      <c r="E27" s="46" t="n">
        <f aca="false">SUM(E2:E26)</f>
        <v>4</v>
      </c>
      <c r="F27" s="45" t="n">
        <f aca="false">SUM(F2:F26)</f>
        <v>4</v>
      </c>
      <c r="G27" s="46" t="n">
        <f aca="false">SUM(G2:G26)</f>
        <v>4</v>
      </c>
      <c r="H27" s="45" t="n">
        <f aca="false">SUM(H2:H26)</f>
        <v>4</v>
      </c>
      <c r="I27" s="46" t="n">
        <f aca="false">SUM(I2:I26)</f>
        <v>4</v>
      </c>
      <c r="J27" s="45" t="n">
        <f aca="false">SUM(J2:J26)</f>
        <v>4</v>
      </c>
      <c r="K27" s="46" t="n">
        <f aca="false">SUM(K2:K26)</f>
        <v>4</v>
      </c>
      <c r="L27" s="45" t="n">
        <f aca="false">SUM(L2:L26)</f>
        <v>4</v>
      </c>
      <c r="M27" s="46" t="n">
        <f aca="false">SUM(M2:M26)</f>
        <v>4</v>
      </c>
      <c r="N27" s="45" t="n">
        <f aca="false">SUM(N2:N26)</f>
        <v>4</v>
      </c>
      <c r="O27" s="46" t="n">
        <f aca="false">SUM(O2:O26)</f>
        <v>4</v>
      </c>
      <c r="P27" s="45" t="n">
        <f aca="false">SUM(P2:P26)</f>
        <v>4</v>
      </c>
      <c r="Q27" s="46" t="n">
        <f aca="false">SUM(Q2:Q26)</f>
        <v>4</v>
      </c>
      <c r="R27" s="45" t="n">
        <f aca="false">SUM(R2:R26)</f>
        <v>4</v>
      </c>
      <c r="S27" s="46" t="n">
        <f aca="false">SUM(S2:S26)</f>
        <v>4</v>
      </c>
      <c r="T27" s="45" t="n">
        <f aca="false">SUM(T2:T26)</f>
        <v>4</v>
      </c>
      <c r="U27" s="46" t="n">
        <f aca="false">SUM(U2:U26)</f>
        <v>4</v>
      </c>
      <c r="V27" s="45" t="n">
        <f aca="false">SUM(V2:V26)</f>
        <v>4</v>
      </c>
      <c r="W27" s="46" t="n">
        <f aca="false">SUM(W2:W26)</f>
        <v>4</v>
      </c>
      <c r="X27" s="45" t="n">
        <f aca="false">SUM(X2:X26)</f>
        <v>4</v>
      </c>
      <c r="Y27" s="46" t="n">
        <f aca="false">SUM(Y2:Y26)</f>
        <v>4</v>
      </c>
      <c r="Z27" s="47" t="n">
        <f aca="false">SUM(B27:Y27)*73</f>
        <v>7008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5" min="2" style="0" width="5.2"/>
    <col collapsed="false" customWidth="true" hidden="false" outlineLevel="0" max="26" min="26" style="0" width="11"/>
  </cols>
  <sheetData>
    <row r="1" customFormat="false" ht="15" hidden="false" customHeight="false" outlineLevel="0" collapsed="false">
      <c r="A1" s="1" t="s">
        <v>43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39</v>
      </c>
    </row>
    <row r="2" customFormat="false" ht="15" hidden="false" customHeight="false" outlineLevel="0" collapsed="false">
      <c r="A2" s="2" t="s">
        <v>13</v>
      </c>
      <c r="B2" s="3"/>
      <c r="C2" s="4"/>
      <c r="D2" s="3"/>
      <c r="E2" s="4"/>
      <c r="F2" s="5"/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28" t="n">
        <f aca="false">Z3+Z4</f>
        <v>1314</v>
      </c>
    </row>
    <row r="3" customFormat="false" ht="15" hidden="false" customHeight="false" outlineLevel="0" collapsed="false">
      <c r="A3" s="7" t="s">
        <v>14</v>
      </c>
      <c r="B3" s="8"/>
      <c r="C3" s="6"/>
      <c r="D3" s="5"/>
      <c r="E3" s="6"/>
      <c r="F3" s="5"/>
      <c r="G3" s="6"/>
      <c r="H3" s="5"/>
      <c r="I3" s="6"/>
      <c r="J3" s="5"/>
      <c r="K3" s="6"/>
      <c r="L3" s="5"/>
      <c r="M3" s="6"/>
      <c r="N3" s="5"/>
      <c r="O3" s="6"/>
      <c r="P3" s="5"/>
      <c r="Q3" s="6"/>
      <c r="R3" s="5"/>
      <c r="S3" s="6"/>
      <c r="T3" s="5"/>
      <c r="U3" s="6"/>
      <c r="V3" s="5"/>
      <c r="W3" s="6"/>
      <c r="X3" s="5"/>
      <c r="Y3" s="6"/>
      <c r="Z3" s="30" t="n">
        <f aca="false">SUM(B3:Y3)*73</f>
        <v>0</v>
      </c>
    </row>
    <row r="4" customFormat="false" ht="15" hidden="false" customHeight="false" outlineLevel="0" collapsed="false">
      <c r="A4" s="7" t="s">
        <v>15</v>
      </c>
      <c r="B4" s="5"/>
      <c r="C4" s="31" t="n">
        <v>6</v>
      </c>
      <c r="D4" s="29" t="n">
        <v>6</v>
      </c>
      <c r="E4" s="31" t="n">
        <v>6</v>
      </c>
      <c r="F4" s="5"/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30" t="n">
        <f aca="false">SUM(B4:Y4)*73</f>
        <v>1314</v>
      </c>
    </row>
    <row r="5" customFormat="false" ht="15" hidden="false" customHeight="false" outlineLevel="0" collapsed="false">
      <c r="A5" s="10" t="s">
        <v>16</v>
      </c>
      <c r="B5" s="5"/>
      <c r="C5" s="6"/>
      <c r="D5" s="5"/>
      <c r="E5" s="6"/>
      <c r="F5" s="11"/>
      <c r="G5" s="12"/>
      <c r="H5" s="11"/>
      <c r="I5" s="12"/>
      <c r="J5" s="11"/>
      <c r="K5" s="12"/>
      <c r="L5" s="11"/>
      <c r="M5" s="12"/>
      <c r="N5" s="11"/>
      <c r="O5" s="12"/>
      <c r="P5" s="11"/>
      <c r="Q5" s="12"/>
      <c r="R5" s="11"/>
      <c r="S5" s="12"/>
      <c r="T5" s="11"/>
      <c r="U5" s="12"/>
      <c r="V5" s="5"/>
      <c r="W5" s="6"/>
      <c r="X5" s="5"/>
      <c r="Y5" s="6"/>
      <c r="Z5" s="32" t="n">
        <f aca="false">Z6+Z7+Z8+Z9</f>
        <v>2336</v>
      </c>
    </row>
    <row r="6" customFormat="false" ht="15" hidden="false" customHeight="false" outlineLevel="0" collapsed="false">
      <c r="A6" s="13" t="s">
        <v>17</v>
      </c>
      <c r="B6" s="5"/>
      <c r="C6" s="6"/>
      <c r="D6" s="5"/>
      <c r="E6" s="6"/>
      <c r="F6" s="33" t="n">
        <v>2</v>
      </c>
      <c r="G6" s="34" t="n">
        <v>2</v>
      </c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35" t="n">
        <f aca="false">SUM(B6:Y6)*73</f>
        <v>292</v>
      </c>
    </row>
    <row r="7" customFormat="false" ht="15" hidden="false" customHeight="false" outlineLevel="0" collapsed="false">
      <c r="A7" s="13" t="s">
        <v>18</v>
      </c>
      <c r="B7" s="5"/>
      <c r="C7" s="6"/>
      <c r="D7" s="5"/>
      <c r="E7" s="6"/>
      <c r="F7" s="5"/>
      <c r="G7" s="6"/>
      <c r="H7" s="33" t="n">
        <v>2</v>
      </c>
      <c r="I7" s="34" t="n">
        <v>2</v>
      </c>
      <c r="J7" s="33" t="n">
        <v>2</v>
      </c>
      <c r="K7" s="34" t="n">
        <v>2</v>
      </c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6"/>
      <c r="Z7" s="35" t="n">
        <f aca="false">SUM(B7:Y7)*73</f>
        <v>584</v>
      </c>
    </row>
    <row r="8" customFormat="false" ht="15" hidden="false" customHeight="false" outlineLevel="0" collapsed="false">
      <c r="A8" s="13" t="s">
        <v>19</v>
      </c>
      <c r="B8" s="5"/>
      <c r="C8" s="6"/>
      <c r="D8" s="5"/>
      <c r="E8" s="6"/>
      <c r="F8" s="5"/>
      <c r="G8" s="6"/>
      <c r="H8" s="5"/>
      <c r="I8" s="6"/>
      <c r="J8" s="5"/>
      <c r="K8" s="6"/>
      <c r="L8" s="33" t="n">
        <v>2</v>
      </c>
      <c r="M8" s="34" t="n">
        <v>2</v>
      </c>
      <c r="N8" s="33" t="n">
        <v>2</v>
      </c>
      <c r="O8" s="34" t="n">
        <v>2</v>
      </c>
      <c r="P8" s="33" t="n">
        <v>2</v>
      </c>
      <c r="Q8" s="6"/>
      <c r="R8" s="5"/>
      <c r="S8" s="6"/>
      <c r="T8" s="5"/>
      <c r="U8" s="6"/>
      <c r="V8" s="5"/>
      <c r="W8" s="6"/>
      <c r="X8" s="5"/>
      <c r="Y8" s="6"/>
      <c r="Z8" s="35" t="n">
        <f aca="false">SUM(B8:Y8)*73</f>
        <v>730</v>
      </c>
    </row>
    <row r="9" customFormat="false" ht="15" hidden="false" customHeight="false" outlineLevel="0" collapsed="false">
      <c r="A9" s="13" t="s">
        <v>20</v>
      </c>
      <c r="B9" s="5"/>
      <c r="C9" s="6"/>
      <c r="D9" s="5"/>
      <c r="E9" s="6"/>
      <c r="F9" s="5"/>
      <c r="G9" s="6"/>
      <c r="H9" s="5"/>
      <c r="I9" s="6"/>
      <c r="J9" s="5"/>
      <c r="K9" s="6"/>
      <c r="L9" s="5"/>
      <c r="M9" s="6"/>
      <c r="N9" s="5"/>
      <c r="O9" s="6"/>
      <c r="P9" s="5"/>
      <c r="Q9" s="34" t="n">
        <v>2</v>
      </c>
      <c r="R9" s="33" t="n">
        <v>2</v>
      </c>
      <c r="S9" s="34" t="n">
        <v>2</v>
      </c>
      <c r="T9" s="33" t="n">
        <v>2</v>
      </c>
      <c r="U9" s="34" t="n">
        <v>2</v>
      </c>
      <c r="V9" s="5"/>
      <c r="W9" s="6"/>
      <c r="X9" s="5"/>
      <c r="Y9" s="6"/>
      <c r="Z9" s="35" t="n">
        <f aca="false">SUM(B9:Y9)*73</f>
        <v>730</v>
      </c>
    </row>
    <row r="10" customFormat="false" ht="15" hidden="false" customHeight="false" outlineLevel="0" collapsed="false">
      <c r="A10" s="16" t="s">
        <v>21</v>
      </c>
      <c r="B10" s="5"/>
      <c r="C10" s="6"/>
      <c r="D10" s="5"/>
      <c r="E10" s="6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5"/>
      <c r="S10" s="6"/>
      <c r="T10" s="5"/>
      <c r="U10" s="6"/>
      <c r="V10" s="5"/>
      <c r="W10" s="6"/>
      <c r="X10" s="5"/>
      <c r="Y10" s="6"/>
      <c r="Z10" s="36" t="n">
        <f aca="false">Z11+Z12+Z13</f>
        <v>1752</v>
      </c>
    </row>
    <row r="11" customFormat="false" ht="15" hidden="false" customHeight="false" outlineLevel="0" collapsed="false">
      <c r="A11" s="19" t="s">
        <v>22</v>
      </c>
      <c r="B11" s="5"/>
      <c r="C11" s="6"/>
      <c r="D11" s="5"/>
      <c r="E11" s="6"/>
      <c r="F11" s="37" t="n">
        <v>2</v>
      </c>
      <c r="G11" s="38" t="n">
        <v>2</v>
      </c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39" t="n">
        <f aca="false">SUM(B11:Y11)*73</f>
        <v>292</v>
      </c>
    </row>
    <row r="12" customFormat="false" ht="15" hidden="false" customHeight="false" outlineLevel="0" collapsed="false">
      <c r="A12" s="19" t="s">
        <v>23</v>
      </c>
      <c r="B12" s="5"/>
      <c r="C12" s="6"/>
      <c r="D12" s="5"/>
      <c r="E12" s="6"/>
      <c r="F12" s="5"/>
      <c r="G12" s="6"/>
      <c r="H12" s="37" t="n">
        <v>2</v>
      </c>
      <c r="I12" s="38" t="n">
        <v>2</v>
      </c>
      <c r="J12" s="37" t="n">
        <v>2</v>
      </c>
      <c r="K12" s="38" t="n">
        <v>2</v>
      </c>
      <c r="L12" s="37" t="n">
        <v>2</v>
      </c>
      <c r="M12" s="38" t="n">
        <v>2</v>
      </c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39" t="n">
        <f aca="false">SUM(B12:Y12)*73</f>
        <v>876</v>
      </c>
    </row>
    <row r="13" customFormat="false" ht="15" hidden="false" customHeight="false" outlineLevel="0" collapsed="false">
      <c r="A13" s="19" t="s">
        <v>24</v>
      </c>
      <c r="B13" s="5"/>
      <c r="C13" s="6"/>
      <c r="D13" s="5"/>
      <c r="E13" s="6"/>
      <c r="F13" s="5"/>
      <c r="G13" s="6"/>
      <c r="H13" s="5"/>
      <c r="I13" s="6"/>
      <c r="J13" s="5"/>
      <c r="K13" s="6"/>
      <c r="L13" s="5"/>
      <c r="M13" s="6"/>
      <c r="N13" s="37" t="n">
        <v>2</v>
      </c>
      <c r="O13" s="38" t="n">
        <v>2</v>
      </c>
      <c r="P13" s="37" t="n">
        <v>2</v>
      </c>
      <c r="Q13" s="38" t="n">
        <v>2</v>
      </c>
      <c r="R13" s="5"/>
      <c r="S13" s="6"/>
      <c r="T13" s="5"/>
      <c r="U13" s="6"/>
      <c r="V13" s="5"/>
      <c r="W13" s="6"/>
      <c r="X13" s="5"/>
      <c r="Y13" s="6"/>
      <c r="Z13" s="39" t="n">
        <f aca="false">SUM(B13:Y13)*73</f>
        <v>584</v>
      </c>
    </row>
    <row r="14" customFormat="false" ht="15" hidden="false" customHeight="false" outlineLevel="0" collapsed="false">
      <c r="A14" s="16" t="s">
        <v>25</v>
      </c>
      <c r="B14" s="5"/>
      <c r="C14" s="6"/>
      <c r="D14" s="5"/>
      <c r="E14" s="6"/>
      <c r="F14" s="5"/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17"/>
      <c r="S14" s="18"/>
      <c r="T14" s="17"/>
      <c r="U14" s="18"/>
      <c r="V14" s="5"/>
      <c r="W14" s="6"/>
      <c r="X14" s="5"/>
      <c r="Y14" s="6"/>
      <c r="Z14" s="36" t="n">
        <f aca="false">Z15+Z16</f>
        <v>584</v>
      </c>
    </row>
    <row r="15" customFormat="false" ht="15" hidden="false" customHeight="false" outlineLevel="0" collapsed="false">
      <c r="A15" s="19" t="s">
        <v>26</v>
      </c>
      <c r="B15" s="5"/>
      <c r="C15" s="6"/>
      <c r="D15" s="5"/>
      <c r="E15" s="6"/>
      <c r="F15" s="5"/>
      <c r="G15" s="6"/>
      <c r="H15" s="5"/>
      <c r="I15" s="6"/>
      <c r="J15" s="5"/>
      <c r="K15" s="6"/>
      <c r="L15" s="5"/>
      <c r="M15" s="6"/>
      <c r="N15" s="5"/>
      <c r="O15" s="6"/>
      <c r="P15" s="5"/>
      <c r="Q15" s="6"/>
      <c r="R15" s="37" t="n">
        <v>2</v>
      </c>
      <c r="S15" s="38" t="n">
        <v>2</v>
      </c>
      <c r="T15" s="5"/>
      <c r="U15" s="6"/>
      <c r="V15" s="5"/>
      <c r="W15" s="6"/>
      <c r="X15" s="5"/>
      <c r="Y15" s="6"/>
      <c r="Z15" s="39" t="n">
        <f aca="false">SUM(B15:Y15)*73</f>
        <v>292</v>
      </c>
    </row>
    <row r="16" customFormat="false" ht="15" hidden="false" customHeight="false" outlineLevel="0" collapsed="false">
      <c r="A16" s="19" t="s">
        <v>27</v>
      </c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37" t="n">
        <v>2</v>
      </c>
      <c r="U16" s="38" t="n">
        <v>2</v>
      </c>
      <c r="V16" s="5"/>
      <c r="W16" s="6"/>
      <c r="X16" s="5"/>
      <c r="Y16" s="6"/>
      <c r="Z16" s="39" t="n">
        <f aca="false">SUM(B16:Y16)*73</f>
        <v>292</v>
      </c>
    </row>
    <row r="17" customFormat="false" ht="15" hidden="false" customHeight="false" outlineLevel="0" collapsed="false">
      <c r="A17" s="22" t="s">
        <v>28</v>
      </c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23"/>
      <c r="S17" s="24"/>
      <c r="T17" s="23"/>
      <c r="U17" s="24"/>
      <c r="V17" s="5"/>
      <c r="W17" s="6"/>
      <c r="X17" s="5"/>
      <c r="Y17" s="6"/>
      <c r="Z17" s="40" t="n">
        <f aca="false">Z18+Z19</f>
        <v>584</v>
      </c>
    </row>
    <row r="18" customFormat="false" ht="15" hidden="false" customHeight="false" outlineLevel="0" collapsed="false">
      <c r="A18" s="25" t="s">
        <v>29</v>
      </c>
      <c r="B18" s="5"/>
      <c r="C18" s="6"/>
      <c r="D18" s="5"/>
      <c r="E18" s="6"/>
      <c r="F18" s="5"/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41" t="n">
        <v>2</v>
      </c>
      <c r="S18" s="42" t="n">
        <v>2</v>
      </c>
      <c r="T18" s="5"/>
      <c r="U18" s="6"/>
      <c r="V18" s="5"/>
      <c r="W18" s="6"/>
      <c r="X18" s="5"/>
      <c r="Y18" s="6"/>
      <c r="Z18" s="43" t="n">
        <f aca="false">SUM(B18:Y18)*73</f>
        <v>292</v>
      </c>
    </row>
    <row r="19" customFormat="false" ht="15" hidden="false" customHeight="false" outlineLevel="0" collapsed="false">
      <c r="A19" s="25" t="s">
        <v>30</v>
      </c>
      <c r="B19" s="5"/>
      <c r="C19" s="6"/>
      <c r="D19" s="5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41" t="n">
        <v>2</v>
      </c>
      <c r="U19" s="42" t="n">
        <v>2</v>
      </c>
      <c r="V19" s="5"/>
      <c r="W19" s="6"/>
      <c r="X19" s="5"/>
      <c r="Y19" s="6"/>
      <c r="Z19" s="43" t="n">
        <f aca="false">SUM(B19:Y19)*73</f>
        <v>292</v>
      </c>
    </row>
    <row r="20" customFormat="false" ht="15" hidden="false" customHeight="false" outlineLevel="0" collapsed="false">
      <c r="A20" s="22" t="s">
        <v>31</v>
      </c>
      <c r="B20" s="5"/>
      <c r="C20" s="6"/>
      <c r="D20" s="5"/>
      <c r="E20" s="6"/>
      <c r="F20" s="23"/>
      <c r="G20" s="24"/>
      <c r="H20" s="23"/>
      <c r="I20" s="24"/>
      <c r="J20" s="23"/>
      <c r="K20" s="24"/>
      <c r="L20" s="23"/>
      <c r="M20" s="24"/>
      <c r="N20" s="23"/>
      <c r="O20" s="24"/>
      <c r="P20" s="23"/>
      <c r="Q20" s="24"/>
      <c r="R20" s="5"/>
      <c r="S20" s="6"/>
      <c r="T20" s="5"/>
      <c r="U20" s="6"/>
      <c r="V20" s="5"/>
      <c r="W20" s="6"/>
      <c r="X20" s="5"/>
      <c r="Y20" s="6"/>
      <c r="Z20" s="40" t="n">
        <f aca="false">Z21+Z22+Z23</f>
        <v>1752</v>
      </c>
    </row>
    <row r="21" customFormat="false" ht="15" hidden="false" customHeight="false" outlineLevel="0" collapsed="false">
      <c r="A21" s="25" t="s">
        <v>32</v>
      </c>
      <c r="B21" s="5"/>
      <c r="C21" s="6"/>
      <c r="D21" s="5"/>
      <c r="E21" s="6"/>
      <c r="F21" s="41" t="n">
        <v>2</v>
      </c>
      <c r="G21" s="42" t="n">
        <v>2</v>
      </c>
      <c r="H21" s="41" t="n">
        <v>2</v>
      </c>
      <c r="I21" s="42" t="n">
        <v>2</v>
      </c>
      <c r="J21" s="41" t="n">
        <v>2</v>
      </c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6"/>
      <c r="Z21" s="43" t="n">
        <f aca="false">SUM(B21:Y21)*73</f>
        <v>730</v>
      </c>
    </row>
    <row r="22" customFormat="false" ht="15" hidden="false" customHeight="false" outlineLevel="0" collapsed="false">
      <c r="A22" s="25" t="s">
        <v>33</v>
      </c>
      <c r="B22" s="5"/>
      <c r="C22" s="6"/>
      <c r="D22" s="5"/>
      <c r="E22" s="6"/>
      <c r="F22" s="5"/>
      <c r="G22" s="6"/>
      <c r="H22" s="5"/>
      <c r="I22" s="6"/>
      <c r="J22" s="5"/>
      <c r="K22" s="42" t="n">
        <v>2</v>
      </c>
      <c r="L22" s="41" t="n">
        <v>2</v>
      </c>
      <c r="M22" s="42" t="n">
        <v>2</v>
      </c>
      <c r="N22" s="41" t="n">
        <v>2</v>
      </c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43" t="n">
        <f aca="false">SUM(B22:Y22)*73</f>
        <v>584</v>
      </c>
    </row>
    <row r="23" customFormat="false" ht="15" hidden="false" customHeight="false" outlineLevel="0" collapsed="false">
      <c r="A23" s="25" t="s">
        <v>34</v>
      </c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42" t="n">
        <v>2</v>
      </c>
      <c r="P23" s="41" t="n">
        <v>2</v>
      </c>
      <c r="Q23" s="42" t="n">
        <v>2</v>
      </c>
      <c r="R23" s="5"/>
      <c r="S23" s="6"/>
      <c r="T23" s="5"/>
      <c r="U23" s="6"/>
      <c r="V23" s="5"/>
      <c r="W23" s="6"/>
      <c r="X23" s="5"/>
      <c r="Y23" s="6"/>
      <c r="Z23" s="43" t="n">
        <f aca="false">SUM(B23:Y23)*73</f>
        <v>438</v>
      </c>
    </row>
    <row r="24" customFormat="false" ht="15" hidden="false" customHeight="false" outlineLevel="0" collapsed="false">
      <c r="A24" s="2" t="s">
        <v>35</v>
      </c>
      <c r="B24" s="5"/>
      <c r="C24" s="6"/>
      <c r="D24" s="5"/>
      <c r="E24" s="6"/>
      <c r="F24" s="5"/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3"/>
      <c r="W24" s="4"/>
      <c r="X24" s="3"/>
      <c r="Y24" s="4"/>
      <c r="Z24" s="28" t="n">
        <f aca="false">Z25+Z26</f>
        <v>1752</v>
      </c>
    </row>
    <row r="25" customFormat="false" ht="15" hidden="false" customHeight="false" outlineLevel="0" collapsed="false">
      <c r="A25" s="7" t="s">
        <v>36</v>
      </c>
      <c r="B25" s="5"/>
      <c r="C25" s="6"/>
      <c r="D25" s="5"/>
      <c r="E25" s="6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29" t="n">
        <v>6</v>
      </c>
      <c r="W25" s="31" t="n">
        <v>6</v>
      </c>
      <c r="X25" s="29" t="n">
        <v>6</v>
      </c>
      <c r="Y25" s="6"/>
      <c r="Z25" s="30" t="n">
        <f aca="false">SUM(B25:Y25)*73</f>
        <v>1314</v>
      </c>
    </row>
    <row r="26" customFormat="false" ht="15" hidden="false" customHeight="false" outlineLevel="0" collapsed="false">
      <c r="A26" s="7" t="s">
        <v>37</v>
      </c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31" t="n">
        <v>6</v>
      </c>
      <c r="Z26" s="30" t="n">
        <f aca="false">SUM(B26:Y26)*73</f>
        <v>438</v>
      </c>
    </row>
    <row r="27" customFormat="false" ht="15" hidden="false" customHeight="false" outlineLevel="0" collapsed="false">
      <c r="A27" s="44" t="s">
        <v>40</v>
      </c>
      <c r="B27" s="45" t="n">
        <f aca="false">SUM(B2:B26)</f>
        <v>0</v>
      </c>
      <c r="C27" s="46" t="n">
        <f aca="false">SUM(C2:C26)</f>
        <v>6</v>
      </c>
      <c r="D27" s="45" t="n">
        <f aca="false">SUM(D2:D26)</f>
        <v>6</v>
      </c>
      <c r="E27" s="46" t="n">
        <f aca="false">SUM(E2:E26)</f>
        <v>6</v>
      </c>
      <c r="F27" s="45" t="n">
        <f aca="false">SUM(F2:F26)</f>
        <v>6</v>
      </c>
      <c r="G27" s="46" t="n">
        <f aca="false">SUM(G2:G26)</f>
        <v>6</v>
      </c>
      <c r="H27" s="45" t="n">
        <f aca="false">SUM(H2:H26)</f>
        <v>6</v>
      </c>
      <c r="I27" s="46" t="n">
        <f aca="false">SUM(I2:I26)</f>
        <v>6</v>
      </c>
      <c r="J27" s="45" t="n">
        <f aca="false">SUM(J2:J26)</f>
        <v>6</v>
      </c>
      <c r="K27" s="46" t="n">
        <f aca="false">SUM(K2:K26)</f>
        <v>6</v>
      </c>
      <c r="L27" s="45" t="n">
        <f aca="false">SUM(L2:L26)</f>
        <v>6</v>
      </c>
      <c r="M27" s="46" t="n">
        <f aca="false">SUM(M2:M26)</f>
        <v>6</v>
      </c>
      <c r="N27" s="45" t="n">
        <f aca="false">SUM(N2:N26)</f>
        <v>6</v>
      </c>
      <c r="O27" s="46" t="n">
        <f aca="false">SUM(O2:O26)</f>
        <v>6</v>
      </c>
      <c r="P27" s="45" t="n">
        <f aca="false">SUM(P2:P26)</f>
        <v>6</v>
      </c>
      <c r="Q27" s="46" t="n">
        <f aca="false">SUM(Q2:Q26)</f>
        <v>6</v>
      </c>
      <c r="R27" s="45" t="n">
        <f aca="false">SUM(R2:R26)</f>
        <v>6</v>
      </c>
      <c r="S27" s="46" t="n">
        <f aca="false">SUM(S2:S26)</f>
        <v>6</v>
      </c>
      <c r="T27" s="45" t="n">
        <f aca="false">SUM(T2:T26)</f>
        <v>6</v>
      </c>
      <c r="U27" s="46" t="n">
        <f aca="false">SUM(U2:U26)</f>
        <v>6</v>
      </c>
      <c r="V27" s="45" t="n">
        <f aca="false">SUM(V2:V26)</f>
        <v>6</v>
      </c>
      <c r="W27" s="46" t="n">
        <f aca="false">SUM(W2:W26)</f>
        <v>6</v>
      </c>
      <c r="X27" s="45" t="n">
        <f aca="false">SUM(X2:X26)</f>
        <v>6</v>
      </c>
      <c r="Y27" s="46" t="n">
        <f aca="false">SUM(Y2:Y26)</f>
        <v>6</v>
      </c>
      <c r="Z27" s="47" t="n">
        <f aca="false">SUM(B27:Y27)*73</f>
        <v>10074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5" min="2" style="0" width="5.2"/>
    <col collapsed="false" customWidth="true" hidden="false" outlineLevel="0" max="26" min="26" style="0" width="11"/>
  </cols>
  <sheetData>
    <row r="1" customFormat="false" ht="15" hidden="false" customHeight="false" outlineLevel="0" collapsed="false">
      <c r="A1" s="1" t="s">
        <v>44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1"/>
      <c r="V1" s="1" t="s">
        <v>11</v>
      </c>
      <c r="W1" s="1"/>
      <c r="X1" s="1" t="s">
        <v>12</v>
      </c>
      <c r="Y1" s="1"/>
      <c r="Z1" s="1" t="s">
        <v>39</v>
      </c>
    </row>
    <row r="2" customFormat="false" ht="15" hidden="false" customHeight="false" outlineLevel="0" collapsed="false">
      <c r="A2" s="2" t="s">
        <v>13</v>
      </c>
      <c r="B2" s="3"/>
      <c r="C2" s="4"/>
      <c r="D2" s="3"/>
      <c r="E2" s="4"/>
      <c r="F2" s="5"/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28" t="n">
        <f aca="false">Z3+Z4</f>
        <v>3066</v>
      </c>
    </row>
    <row r="3" customFormat="false" ht="15" hidden="false" customHeight="false" outlineLevel="0" collapsed="false">
      <c r="A3" s="7" t="s">
        <v>14</v>
      </c>
      <c r="B3" s="29" t="n">
        <v>6</v>
      </c>
      <c r="C3" s="6"/>
      <c r="D3" s="5"/>
      <c r="E3" s="6"/>
      <c r="F3" s="5"/>
      <c r="G3" s="6"/>
      <c r="H3" s="5"/>
      <c r="I3" s="6"/>
      <c r="J3" s="5"/>
      <c r="K3" s="6"/>
      <c r="L3" s="5"/>
      <c r="M3" s="6"/>
      <c r="N3" s="5"/>
      <c r="O3" s="6"/>
      <c r="P3" s="5"/>
      <c r="Q3" s="6"/>
      <c r="R3" s="5"/>
      <c r="S3" s="6"/>
      <c r="T3" s="5"/>
      <c r="U3" s="6"/>
      <c r="V3" s="5"/>
      <c r="W3" s="6"/>
      <c r="X3" s="5"/>
      <c r="Y3" s="6"/>
      <c r="Z3" s="30" t="n">
        <f aca="false">SUM(B3:Y3)*73</f>
        <v>438</v>
      </c>
    </row>
    <row r="4" customFormat="false" ht="15" hidden="false" customHeight="false" outlineLevel="0" collapsed="false">
      <c r="A4" s="7" t="s">
        <v>15</v>
      </c>
      <c r="B4" s="5"/>
      <c r="C4" s="31" t="n">
        <v>12</v>
      </c>
      <c r="D4" s="29" t="n">
        <v>12</v>
      </c>
      <c r="E4" s="31" t="n">
        <v>12</v>
      </c>
      <c r="F4" s="5"/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30" t="n">
        <f aca="false">SUM(B4:Y4)*73</f>
        <v>2628</v>
      </c>
    </row>
    <row r="5" customFormat="false" ht="15" hidden="false" customHeight="false" outlineLevel="0" collapsed="false">
      <c r="A5" s="10" t="s">
        <v>16</v>
      </c>
      <c r="B5" s="5"/>
      <c r="C5" s="6"/>
      <c r="D5" s="5"/>
      <c r="E5" s="6"/>
      <c r="F5" s="11"/>
      <c r="G5" s="12"/>
      <c r="H5" s="11"/>
      <c r="I5" s="12"/>
      <c r="J5" s="11"/>
      <c r="K5" s="12"/>
      <c r="L5" s="11"/>
      <c r="M5" s="12"/>
      <c r="N5" s="11"/>
      <c r="O5" s="12"/>
      <c r="P5" s="11"/>
      <c r="Q5" s="12"/>
      <c r="R5" s="11"/>
      <c r="S5" s="12"/>
      <c r="T5" s="11"/>
      <c r="U5" s="12"/>
      <c r="V5" s="5"/>
      <c r="W5" s="6"/>
      <c r="X5" s="5"/>
      <c r="Y5" s="6"/>
      <c r="Z5" s="32" t="n">
        <f aca="false">Z6+Z7+Z8+Z9</f>
        <v>5635.6</v>
      </c>
    </row>
    <row r="6" customFormat="false" ht="15" hidden="false" customHeight="false" outlineLevel="0" collapsed="false">
      <c r="A6" s="13" t="s">
        <v>17</v>
      </c>
      <c r="B6" s="5"/>
      <c r="C6" s="6"/>
      <c r="D6" s="5"/>
      <c r="E6" s="6"/>
      <c r="F6" s="33" t="n">
        <v>5</v>
      </c>
      <c r="G6" s="34" t="n">
        <v>5</v>
      </c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35" t="n">
        <f aca="false">SUM(B6:Y6)*73</f>
        <v>730</v>
      </c>
    </row>
    <row r="7" customFormat="false" ht="15" hidden="false" customHeight="false" outlineLevel="0" collapsed="false">
      <c r="A7" s="13" t="s">
        <v>18</v>
      </c>
      <c r="B7" s="5"/>
      <c r="C7" s="6"/>
      <c r="D7" s="5"/>
      <c r="E7" s="6"/>
      <c r="F7" s="5"/>
      <c r="G7" s="6"/>
      <c r="H7" s="33" t="n">
        <v>4.8</v>
      </c>
      <c r="I7" s="34" t="n">
        <v>4.8</v>
      </c>
      <c r="J7" s="33" t="n">
        <v>4.8</v>
      </c>
      <c r="K7" s="34" t="n">
        <v>4.8</v>
      </c>
      <c r="L7" s="5"/>
      <c r="M7" s="6"/>
      <c r="N7" s="5"/>
      <c r="O7" s="6"/>
      <c r="P7" s="5"/>
      <c r="Q7" s="6"/>
      <c r="R7" s="5"/>
      <c r="S7" s="6"/>
      <c r="T7" s="5"/>
      <c r="U7" s="6"/>
      <c r="V7" s="5"/>
      <c r="W7" s="6"/>
      <c r="X7" s="5"/>
      <c r="Y7" s="6"/>
      <c r="Z7" s="35" t="n">
        <f aca="false">SUM(B7:Y7)*73</f>
        <v>1401.6</v>
      </c>
    </row>
    <row r="8" customFormat="false" ht="15" hidden="false" customHeight="false" outlineLevel="0" collapsed="false">
      <c r="A8" s="13" t="s">
        <v>19</v>
      </c>
      <c r="B8" s="5"/>
      <c r="C8" s="6"/>
      <c r="D8" s="5"/>
      <c r="E8" s="6"/>
      <c r="F8" s="5"/>
      <c r="G8" s="6"/>
      <c r="H8" s="5"/>
      <c r="I8" s="6"/>
      <c r="J8" s="5"/>
      <c r="K8" s="6"/>
      <c r="L8" s="33" t="n">
        <v>4.8</v>
      </c>
      <c r="M8" s="34" t="n">
        <v>4.8</v>
      </c>
      <c r="N8" s="33" t="n">
        <v>4.8</v>
      </c>
      <c r="O8" s="34" t="n">
        <v>4.8</v>
      </c>
      <c r="P8" s="33" t="n">
        <v>4.8</v>
      </c>
      <c r="Q8" s="6"/>
      <c r="R8" s="5"/>
      <c r="S8" s="6"/>
      <c r="T8" s="5"/>
      <c r="U8" s="6"/>
      <c r="V8" s="5"/>
      <c r="W8" s="6"/>
      <c r="X8" s="5"/>
      <c r="Y8" s="6"/>
      <c r="Z8" s="35" t="n">
        <f aca="false">SUM(B8:Y8)*73</f>
        <v>1752</v>
      </c>
    </row>
    <row r="9" customFormat="false" ht="15" hidden="false" customHeight="false" outlineLevel="0" collapsed="false">
      <c r="A9" s="13" t="s">
        <v>20</v>
      </c>
      <c r="B9" s="5"/>
      <c r="C9" s="6"/>
      <c r="D9" s="5"/>
      <c r="E9" s="6"/>
      <c r="F9" s="5"/>
      <c r="G9" s="6"/>
      <c r="H9" s="5"/>
      <c r="I9" s="6"/>
      <c r="J9" s="5"/>
      <c r="K9" s="6"/>
      <c r="L9" s="5"/>
      <c r="M9" s="6"/>
      <c r="N9" s="5"/>
      <c r="O9" s="6"/>
      <c r="P9" s="5"/>
      <c r="Q9" s="34" t="n">
        <v>4.8</v>
      </c>
      <c r="R9" s="33" t="n">
        <v>4.8</v>
      </c>
      <c r="S9" s="34" t="n">
        <v>4.8</v>
      </c>
      <c r="T9" s="33" t="n">
        <v>4.8</v>
      </c>
      <c r="U9" s="34" t="n">
        <v>4.8</v>
      </c>
      <c r="V9" s="5"/>
      <c r="W9" s="6"/>
      <c r="X9" s="5"/>
      <c r="Y9" s="6"/>
      <c r="Z9" s="35" t="n">
        <f aca="false">SUM(B9:Y9)*73</f>
        <v>1752</v>
      </c>
    </row>
    <row r="10" customFormat="false" ht="15" hidden="false" customHeight="false" outlineLevel="0" collapsed="false">
      <c r="A10" s="16" t="s">
        <v>21</v>
      </c>
      <c r="B10" s="5"/>
      <c r="C10" s="6"/>
      <c r="D10" s="5"/>
      <c r="E10" s="6"/>
      <c r="F10" s="17"/>
      <c r="G10" s="18"/>
      <c r="H10" s="17"/>
      <c r="I10" s="18"/>
      <c r="J10" s="17"/>
      <c r="K10" s="18"/>
      <c r="L10" s="17"/>
      <c r="M10" s="18"/>
      <c r="N10" s="17"/>
      <c r="O10" s="18"/>
      <c r="P10" s="17"/>
      <c r="Q10" s="18"/>
      <c r="R10" s="5"/>
      <c r="S10" s="6"/>
      <c r="T10" s="5"/>
      <c r="U10" s="6"/>
      <c r="V10" s="5"/>
      <c r="W10" s="6"/>
      <c r="X10" s="5"/>
      <c r="Y10" s="6"/>
      <c r="Z10" s="36" t="n">
        <f aca="false">Z11+Z12+Z13</f>
        <v>3139</v>
      </c>
    </row>
    <row r="11" customFormat="false" ht="15" hidden="false" customHeight="false" outlineLevel="0" collapsed="false">
      <c r="A11" s="19" t="s">
        <v>22</v>
      </c>
      <c r="B11" s="5"/>
      <c r="C11" s="6"/>
      <c r="D11" s="5"/>
      <c r="E11" s="6"/>
      <c r="F11" s="37" t="n">
        <v>3.5</v>
      </c>
      <c r="G11" s="38" t="n">
        <v>3.5</v>
      </c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39" t="n">
        <f aca="false">SUM(B11:Y11)*73</f>
        <v>511</v>
      </c>
    </row>
    <row r="12" customFormat="false" ht="15" hidden="false" customHeight="false" outlineLevel="0" collapsed="false">
      <c r="A12" s="19" t="s">
        <v>23</v>
      </c>
      <c r="B12" s="5"/>
      <c r="C12" s="6"/>
      <c r="D12" s="5"/>
      <c r="E12" s="6"/>
      <c r="F12" s="5"/>
      <c r="G12" s="6"/>
      <c r="H12" s="37" t="n">
        <v>3.6</v>
      </c>
      <c r="I12" s="38" t="n">
        <v>3.6</v>
      </c>
      <c r="J12" s="37" t="n">
        <v>3.6</v>
      </c>
      <c r="K12" s="38" t="n">
        <v>3.6</v>
      </c>
      <c r="L12" s="37" t="n">
        <v>3.6</v>
      </c>
      <c r="M12" s="38" t="n">
        <v>3.6</v>
      </c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39" t="n">
        <f aca="false">SUM(B12:Y12)*73</f>
        <v>1576.8</v>
      </c>
    </row>
    <row r="13" customFormat="false" ht="15" hidden="false" customHeight="false" outlineLevel="0" collapsed="false">
      <c r="A13" s="19" t="s">
        <v>24</v>
      </c>
      <c r="B13" s="5"/>
      <c r="C13" s="6"/>
      <c r="D13" s="5"/>
      <c r="E13" s="6"/>
      <c r="F13" s="5"/>
      <c r="G13" s="6"/>
      <c r="H13" s="5"/>
      <c r="I13" s="6"/>
      <c r="J13" s="5"/>
      <c r="K13" s="6"/>
      <c r="L13" s="5"/>
      <c r="M13" s="6"/>
      <c r="N13" s="37" t="n">
        <v>3.6</v>
      </c>
      <c r="O13" s="38" t="n">
        <v>3.6</v>
      </c>
      <c r="P13" s="37" t="n">
        <v>3.6</v>
      </c>
      <c r="Q13" s="38" t="n">
        <v>3.6</v>
      </c>
      <c r="R13" s="5"/>
      <c r="S13" s="6"/>
      <c r="T13" s="5"/>
      <c r="U13" s="6"/>
      <c r="V13" s="5"/>
      <c r="W13" s="6"/>
      <c r="X13" s="5"/>
      <c r="Y13" s="6"/>
      <c r="Z13" s="39" t="n">
        <f aca="false">SUM(B13:Y13)*73</f>
        <v>1051.2</v>
      </c>
    </row>
    <row r="14" customFormat="false" ht="15" hidden="false" customHeight="false" outlineLevel="0" collapsed="false">
      <c r="A14" s="16" t="s">
        <v>25</v>
      </c>
      <c r="B14" s="5"/>
      <c r="C14" s="6"/>
      <c r="D14" s="5"/>
      <c r="E14" s="6"/>
      <c r="F14" s="5"/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17"/>
      <c r="S14" s="18"/>
      <c r="T14" s="17"/>
      <c r="U14" s="18"/>
      <c r="V14" s="5"/>
      <c r="W14" s="6"/>
      <c r="X14" s="5"/>
      <c r="Y14" s="6"/>
      <c r="Z14" s="36" t="n">
        <f aca="false">Z15+Z16</f>
        <v>1051.2</v>
      </c>
    </row>
    <row r="15" customFormat="false" ht="15" hidden="false" customHeight="false" outlineLevel="0" collapsed="false">
      <c r="A15" s="19" t="s">
        <v>26</v>
      </c>
      <c r="B15" s="5"/>
      <c r="C15" s="6"/>
      <c r="D15" s="5"/>
      <c r="E15" s="6"/>
      <c r="F15" s="5"/>
      <c r="G15" s="6"/>
      <c r="H15" s="5"/>
      <c r="I15" s="6"/>
      <c r="J15" s="5"/>
      <c r="K15" s="6"/>
      <c r="L15" s="5"/>
      <c r="M15" s="6"/>
      <c r="N15" s="5"/>
      <c r="O15" s="6"/>
      <c r="P15" s="5"/>
      <c r="Q15" s="6"/>
      <c r="R15" s="37" t="n">
        <v>3.6</v>
      </c>
      <c r="S15" s="38" t="n">
        <v>3.6</v>
      </c>
      <c r="T15" s="5"/>
      <c r="U15" s="6"/>
      <c r="V15" s="5"/>
      <c r="W15" s="6"/>
      <c r="X15" s="5"/>
      <c r="Y15" s="6"/>
      <c r="Z15" s="39" t="n">
        <f aca="false">SUM(B15:Y15)*73</f>
        <v>525.6</v>
      </c>
    </row>
    <row r="16" customFormat="false" ht="15" hidden="false" customHeight="false" outlineLevel="0" collapsed="false">
      <c r="A16" s="19" t="s">
        <v>27</v>
      </c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37" t="n">
        <v>3.6</v>
      </c>
      <c r="U16" s="38" t="n">
        <v>3.6</v>
      </c>
      <c r="V16" s="5"/>
      <c r="W16" s="6"/>
      <c r="X16" s="5"/>
      <c r="Y16" s="6"/>
      <c r="Z16" s="39" t="n">
        <f aca="false">SUM(B16:Y16)*73</f>
        <v>525.6</v>
      </c>
    </row>
    <row r="17" customFormat="false" ht="15" hidden="false" customHeight="false" outlineLevel="0" collapsed="false">
      <c r="A17" s="22" t="s">
        <v>28</v>
      </c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  <c r="P17" s="5"/>
      <c r="Q17" s="6"/>
      <c r="R17" s="23"/>
      <c r="S17" s="24"/>
      <c r="T17" s="23"/>
      <c r="U17" s="24"/>
      <c r="V17" s="5"/>
      <c r="W17" s="6"/>
      <c r="X17" s="5"/>
      <c r="Y17" s="6"/>
      <c r="Z17" s="40" t="n">
        <f aca="false">Z18+Z19</f>
        <v>1051.2</v>
      </c>
    </row>
    <row r="18" customFormat="false" ht="15" hidden="false" customHeight="false" outlineLevel="0" collapsed="false">
      <c r="A18" s="25" t="s">
        <v>29</v>
      </c>
      <c r="B18" s="5"/>
      <c r="C18" s="6"/>
      <c r="D18" s="5"/>
      <c r="E18" s="6"/>
      <c r="F18" s="5"/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41" t="n">
        <v>3.6</v>
      </c>
      <c r="S18" s="42" t="n">
        <v>3.6</v>
      </c>
      <c r="T18" s="5"/>
      <c r="U18" s="6"/>
      <c r="V18" s="5"/>
      <c r="W18" s="6"/>
      <c r="X18" s="5"/>
      <c r="Y18" s="6"/>
      <c r="Z18" s="43" t="n">
        <f aca="false">SUM(B18:Y18)*73</f>
        <v>525.6</v>
      </c>
    </row>
    <row r="19" customFormat="false" ht="15" hidden="false" customHeight="false" outlineLevel="0" collapsed="false">
      <c r="A19" s="25" t="s">
        <v>30</v>
      </c>
      <c r="B19" s="5"/>
      <c r="C19" s="6"/>
      <c r="D19" s="5"/>
      <c r="E19" s="6"/>
      <c r="F19" s="5"/>
      <c r="G19" s="6"/>
      <c r="H19" s="5"/>
      <c r="I19" s="6"/>
      <c r="J19" s="5"/>
      <c r="K19" s="6"/>
      <c r="L19" s="5"/>
      <c r="M19" s="6"/>
      <c r="N19" s="5"/>
      <c r="O19" s="6"/>
      <c r="P19" s="5"/>
      <c r="Q19" s="6"/>
      <c r="R19" s="5"/>
      <c r="S19" s="6"/>
      <c r="T19" s="41" t="n">
        <v>3.6</v>
      </c>
      <c r="U19" s="42" t="n">
        <v>3.6</v>
      </c>
      <c r="V19" s="5"/>
      <c r="W19" s="6"/>
      <c r="X19" s="5"/>
      <c r="Y19" s="6"/>
      <c r="Z19" s="43" t="n">
        <f aca="false">SUM(B19:Y19)*73</f>
        <v>525.6</v>
      </c>
    </row>
    <row r="20" customFormat="false" ht="15" hidden="false" customHeight="false" outlineLevel="0" collapsed="false">
      <c r="A20" s="22" t="s">
        <v>31</v>
      </c>
      <c r="B20" s="5"/>
      <c r="C20" s="6"/>
      <c r="D20" s="5"/>
      <c r="E20" s="6"/>
      <c r="F20" s="23"/>
      <c r="G20" s="24"/>
      <c r="H20" s="23"/>
      <c r="I20" s="24"/>
      <c r="J20" s="23"/>
      <c r="K20" s="24"/>
      <c r="L20" s="23"/>
      <c r="M20" s="24"/>
      <c r="N20" s="23"/>
      <c r="O20" s="24"/>
      <c r="P20" s="23"/>
      <c r="Q20" s="24"/>
      <c r="R20" s="5"/>
      <c r="S20" s="6"/>
      <c r="T20" s="5"/>
      <c r="U20" s="6"/>
      <c r="V20" s="5"/>
      <c r="W20" s="6"/>
      <c r="X20" s="5"/>
      <c r="Y20" s="6"/>
      <c r="Z20" s="40" t="n">
        <f aca="false">Z21+Z22+Z23</f>
        <v>3139</v>
      </c>
    </row>
    <row r="21" customFormat="false" ht="15" hidden="false" customHeight="false" outlineLevel="0" collapsed="false">
      <c r="A21" s="25" t="s">
        <v>32</v>
      </c>
      <c r="B21" s="5"/>
      <c r="C21" s="6"/>
      <c r="D21" s="5"/>
      <c r="E21" s="6"/>
      <c r="F21" s="41" t="n">
        <v>3.5</v>
      </c>
      <c r="G21" s="42" t="n">
        <v>3.5</v>
      </c>
      <c r="H21" s="41" t="n">
        <v>3.6</v>
      </c>
      <c r="I21" s="42" t="n">
        <v>3.6</v>
      </c>
      <c r="J21" s="41" t="n">
        <v>3.6</v>
      </c>
      <c r="K21" s="6"/>
      <c r="L21" s="5"/>
      <c r="M21" s="6"/>
      <c r="N21" s="5"/>
      <c r="O21" s="6"/>
      <c r="P21" s="5"/>
      <c r="Q21" s="6"/>
      <c r="R21" s="5"/>
      <c r="S21" s="6"/>
      <c r="T21" s="5"/>
      <c r="U21" s="6"/>
      <c r="V21" s="5"/>
      <c r="W21" s="6"/>
      <c r="X21" s="5"/>
      <c r="Y21" s="6"/>
      <c r="Z21" s="43" t="n">
        <f aca="false">SUM(B21:Y21)*73</f>
        <v>1299.4</v>
      </c>
    </row>
    <row r="22" customFormat="false" ht="15" hidden="false" customHeight="false" outlineLevel="0" collapsed="false">
      <c r="A22" s="25" t="s">
        <v>33</v>
      </c>
      <c r="B22" s="5"/>
      <c r="C22" s="6"/>
      <c r="D22" s="5"/>
      <c r="E22" s="6"/>
      <c r="F22" s="5"/>
      <c r="G22" s="6"/>
      <c r="H22" s="5"/>
      <c r="I22" s="6"/>
      <c r="J22" s="5"/>
      <c r="K22" s="42" t="n">
        <v>3.6</v>
      </c>
      <c r="L22" s="41" t="n">
        <v>3.6</v>
      </c>
      <c r="M22" s="42" t="n">
        <v>3.6</v>
      </c>
      <c r="N22" s="41" t="n">
        <v>3.6</v>
      </c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43" t="n">
        <f aca="false">SUM(B22:Y22)*73</f>
        <v>1051.2</v>
      </c>
    </row>
    <row r="23" customFormat="false" ht="15" hidden="false" customHeight="false" outlineLevel="0" collapsed="false">
      <c r="A23" s="25" t="s">
        <v>34</v>
      </c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42" t="n">
        <v>3.6</v>
      </c>
      <c r="P23" s="41" t="n">
        <v>3.6</v>
      </c>
      <c r="Q23" s="42" t="n">
        <v>3.6</v>
      </c>
      <c r="R23" s="5"/>
      <c r="S23" s="6"/>
      <c r="T23" s="5"/>
      <c r="U23" s="6"/>
      <c r="V23" s="5"/>
      <c r="W23" s="6"/>
      <c r="X23" s="5"/>
      <c r="Y23" s="6"/>
      <c r="Z23" s="43" t="n">
        <f aca="false">SUM(B23:Y23)*73</f>
        <v>788.4</v>
      </c>
    </row>
    <row r="24" customFormat="false" ht="15" hidden="false" customHeight="false" outlineLevel="0" collapsed="false">
      <c r="A24" s="2" t="s">
        <v>35</v>
      </c>
      <c r="B24" s="5"/>
      <c r="C24" s="6"/>
      <c r="D24" s="5"/>
      <c r="E24" s="6"/>
      <c r="F24" s="5"/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3"/>
      <c r="W24" s="4"/>
      <c r="X24" s="3"/>
      <c r="Y24" s="4"/>
      <c r="Z24" s="28" t="n">
        <f aca="false">Z25+Z26</f>
        <v>3504</v>
      </c>
    </row>
    <row r="25" customFormat="false" ht="15" hidden="false" customHeight="false" outlineLevel="0" collapsed="false">
      <c r="A25" s="7" t="s">
        <v>36</v>
      </c>
      <c r="B25" s="5"/>
      <c r="C25" s="6"/>
      <c r="D25" s="5"/>
      <c r="E25" s="6"/>
      <c r="F25" s="5"/>
      <c r="G25" s="6"/>
      <c r="H25" s="5"/>
      <c r="I25" s="6"/>
      <c r="J25" s="5"/>
      <c r="K25" s="6"/>
      <c r="L25" s="5"/>
      <c r="M25" s="6"/>
      <c r="N25" s="5"/>
      <c r="O25" s="6"/>
      <c r="P25" s="5"/>
      <c r="Q25" s="6"/>
      <c r="R25" s="5"/>
      <c r="S25" s="6"/>
      <c r="T25" s="5"/>
      <c r="U25" s="6"/>
      <c r="V25" s="29" t="n">
        <v>12</v>
      </c>
      <c r="W25" s="31" t="n">
        <v>12</v>
      </c>
      <c r="X25" s="29" t="n">
        <v>12</v>
      </c>
      <c r="Y25" s="6"/>
      <c r="Z25" s="30" t="n">
        <f aca="false">SUM(B25:Y25)*73</f>
        <v>2628</v>
      </c>
    </row>
    <row r="26" customFormat="false" ht="15" hidden="false" customHeight="false" outlineLevel="0" collapsed="false">
      <c r="A26" s="7" t="s">
        <v>37</v>
      </c>
      <c r="B26" s="5"/>
      <c r="C26" s="6"/>
      <c r="D26" s="5"/>
      <c r="E26" s="6"/>
      <c r="F26" s="5"/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31" t="n">
        <v>12</v>
      </c>
      <c r="Z26" s="30" t="n">
        <f aca="false">SUM(B26:Y26)*73</f>
        <v>876</v>
      </c>
    </row>
    <row r="27" customFormat="false" ht="15" hidden="false" customHeight="false" outlineLevel="0" collapsed="false">
      <c r="A27" s="44" t="s">
        <v>40</v>
      </c>
      <c r="B27" s="45" t="n">
        <f aca="false">SUM(B2:B26)</f>
        <v>6</v>
      </c>
      <c r="C27" s="46" t="n">
        <f aca="false">SUM(C2:C26)</f>
        <v>12</v>
      </c>
      <c r="D27" s="45" t="n">
        <f aca="false">SUM(D2:D26)</f>
        <v>12</v>
      </c>
      <c r="E27" s="46" t="n">
        <f aca="false">SUM(E2:E26)</f>
        <v>12</v>
      </c>
      <c r="F27" s="45" t="n">
        <f aca="false">SUM(F2:F26)</f>
        <v>12</v>
      </c>
      <c r="G27" s="46" t="n">
        <f aca="false">SUM(G2:G26)</f>
        <v>12</v>
      </c>
      <c r="H27" s="45" t="n">
        <f aca="false">SUM(H2:H26)</f>
        <v>12</v>
      </c>
      <c r="I27" s="46" t="n">
        <f aca="false">SUM(I2:I26)</f>
        <v>12</v>
      </c>
      <c r="J27" s="45" t="n">
        <f aca="false">SUM(J2:J26)</f>
        <v>12</v>
      </c>
      <c r="K27" s="46" t="n">
        <f aca="false">SUM(K2:K26)</f>
        <v>12</v>
      </c>
      <c r="L27" s="45" t="n">
        <f aca="false">SUM(L2:L26)</f>
        <v>12</v>
      </c>
      <c r="M27" s="46" t="n">
        <f aca="false">SUM(M2:M26)</f>
        <v>12</v>
      </c>
      <c r="N27" s="45" t="n">
        <f aca="false">SUM(N2:N26)</f>
        <v>12</v>
      </c>
      <c r="O27" s="46" t="n">
        <f aca="false">SUM(O2:O26)</f>
        <v>12</v>
      </c>
      <c r="P27" s="45" t="n">
        <f aca="false">SUM(P2:P26)</f>
        <v>12</v>
      </c>
      <c r="Q27" s="46" t="n">
        <f aca="false">SUM(Q2:Q26)</f>
        <v>12</v>
      </c>
      <c r="R27" s="45" t="n">
        <f aca="false">SUM(R2:R26)</f>
        <v>12</v>
      </c>
      <c r="S27" s="46" t="n">
        <f aca="false">SUM(S2:S26)</f>
        <v>12</v>
      </c>
      <c r="T27" s="45" t="n">
        <f aca="false">SUM(T2:T26)</f>
        <v>12</v>
      </c>
      <c r="U27" s="46" t="n">
        <f aca="false">SUM(U2:U26)</f>
        <v>12</v>
      </c>
      <c r="V27" s="45" t="n">
        <f aca="false">SUM(V2:V26)</f>
        <v>12</v>
      </c>
      <c r="W27" s="46" t="n">
        <f aca="false">SUM(W2:W26)</f>
        <v>12</v>
      </c>
      <c r="X27" s="45" t="n">
        <f aca="false">SUM(X2:X26)</f>
        <v>12</v>
      </c>
      <c r="Y27" s="46" t="n">
        <f aca="false">SUM(Y2:Y26)</f>
        <v>12</v>
      </c>
      <c r="Z27" s="47" t="n">
        <f aca="false">SUM(B27:Y27)*73</f>
        <v>20586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2026-09-05T19:02:09Z</dcterms:created>
  <dc:creator>openpyxl</dc:creator>
  <dc:description/>
  <dc:language>en-US</dc:language>
  <cp:lastModifiedBy/>
  <dcterms:modified xsi:type="dcterms:W3CDTF">2026-09-05T19:02:09Z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